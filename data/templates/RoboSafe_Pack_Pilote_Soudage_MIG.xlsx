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age_Garde" sheetId="1" state="visible" r:id="rId1"/>
    <sheet xmlns:r="http://schemas.openxmlformats.org/officeDocument/2006/relationships" name="1_Architecture" sheetId="2" state="visible" r:id="rId2"/>
    <sheet xmlns:r="http://schemas.openxmlformats.org/officeDocument/2006/relationships" name="2_Analyse_Risques" sheetId="3" state="visible" r:id="rId3"/>
    <sheet xmlns:r="http://schemas.openxmlformats.org/officeDocument/2006/relationships" name="3_Regles_Intervention" sheetId="4" state="visible" r:id="rId4"/>
    <sheet xmlns:r="http://schemas.openxmlformats.org/officeDocument/2006/relationships" name="4_Data_Dictionary" sheetId="5" state="visible" r:id="rId5"/>
    <sheet xmlns:r="http://schemas.openxmlformats.org/officeDocument/2006/relationships" name="5_Plan_Tests" sheetId="6" state="visible" r:id="rId6"/>
    <sheet xmlns:r="http://schemas.openxmlformats.org/officeDocument/2006/relationships" name="6_Formation" sheetId="7" state="visible" r:id="rId7"/>
    <sheet xmlns:r="http://schemas.openxmlformats.org/officeDocument/2006/relationships" name="7_Registre_Changements" sheetId="8" state="visible" r:id="rId8"/>
    <sheet xmlns:r="http://schemas.openxmlformats.org/officeDocument/2006/relationships" name="8_Donnees_A_Collec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color rgb="002E75B6"/>
      <sz val="16"/>
    </font>
    <font>
      <b val="1"/>
      <color rgb="001F4E79"/>
      <sz val="12"/>
    </font>
    <font>
      <b val="1"/>
      <color rgb="001F4E79"/>
      <sz val="14"/>
    </font>
    <font>
      <name val="Courier New"/>
      <sz val="9"/>
    </font>
    <font>
      <b val="1"/>
      <sz val="12"/>
    </font>
    <font>
      <b val="1"/>
      <color rgb="00FFFFFF"/>
      <sz val="11"/>
    </font>
    <font>
      <b val="1"/>
      <color rgb="00C00000"/>
    </font>
    <font>
      <b val="1"/>
      <color rgb="00FFFFFF"/>
    </font>
    <font>
      <b val="1"/>
      <color rgb="00000000"/>
    </font>
    <font>
      <b val="1"/>
      <color rgb="00C00000"/>
      <sz val="12"/>
    </font>
    <font>
      <i val="1"/>
      <color rgb="00C00000"/>
    </font>
    <font>
      <b val="1"/>
      <sz val="11"/>
    </font>
    <font>
      <b val="1"/>
      <color rgb="002E75B6"/>
      <sz val="12"/>
    </font>
    <font>
      <b val="1"/>
      <color rgb="0070AD47"/>
      <sz val="12"/>
    </font>
    <font>
      <b val="1"/>
      <color rgb="00C00000"/>
      <sz val="14"/>
    </font>
    <font>
      <i val="1"/>
    </font>
  </fonts>
  <fills count="20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99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1F4E79"/>
      </patternFill>
    </fill>
    <fill>
      <patternFill patternType="solid">
        <fgColor rgb="0092D050"/>
      </patternFill>
    </fill>
    <fill>
      <patternFill patternType="solid">
        <fgColor rgb="007030A0"/>
      </patternFill>
    </fill>
    <fill>
      <patternFill patternType="solid">
        <fgColor rgb="00FF0000"/>
      </patternFill>
    </fill>
    <fill>
      <patternFill patternType="solid">
        <fgColor rgb="00FFA500"/>
      </patternFill>
    </fill>
    <fill>
      <patternFill patternType="solid">
        <fgColor rgb="00FFFF00"/>
      </patternFill>
    </fill>
    <fill>
      <patternFill patternType="solid">
        <fgColor rgb="005B9BD5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8" fillId="4" borderId="0" pivotButton="0" quotePrefix="0" xfId="0"/>
    <xf numFmtId="0" fontId="9" fillId="5" borderId="1" pivotButton="0" quotePrefix="0" xfId="0"/>
    <xf numFmtId="0" fontId="10" fillId="6" borderId="1" pivotButton="0" quotePrefix="0" xfId="0"/>
    <xf numFmtId="0" fontId="10" fillId="3" borderId="1" pivotButton="0" quotePrefix="0" xfId="0"/>
    <xf numFmtId="0" fontId="9" fillId="7" borderId="1" pivotButton="0" quotePrefix="0" xfId="0"/>
    <xf numFmtId="0" fontId="9" fillId="10" borderId="1" pivotButton="0" quotePrefix="0" xfId="0"/>
    <xf numFmtId="0" fontId="10" fillId="9" borderId="1" pivotButton="0" quotePrefix="0" xfId="0"/>
    <xf numFmtId="0" fontId="7" fillId="8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11" fillId="0" borderId="0" pivotButton="0" quotePrefix="0" xfId="0"/>
    <xf numFmtId="0" fontId="7" fillId="11" borderId="1" pivotButton="0" quotePrefix="0" xfId="0"/>
    <xf numFmtId="0" fontId="9" fillId="11" borderId="1" applyAlignment="1" pivotButton="0" quotePrefix="0" xfId="0">
      <alignment vertical="center" wrapText="1"/>
    </xf>
    <xf numFmtId="0" fontId="10" fillId="12" borderId="1" applyAlignment="1" pivotButton="0" quotePrefix="0" xfId="0">
      <alignment vertical="center" wrapText="1"/>
    </xf>
    <xf numFmtId="0" fontId="10" fillId="13" borderId="1" applyAlignment="1" pivotButton="0" quotePrefix="0" xfId="0">
      <alignment vertical="center" wrapText="1"/>
    </xf>
    <xf numFmtId="0" fontId="12" fillId="0" borderId="0" pivotButton="0" quotePrefix="0" xfId="0"/>
    <xf numFmtId="0" fontId="9" fillId="12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9" fillId="14" borderId="1" applyAlignment="1" pivotButton="0" quotePrefix="0" xfId="0">
      <alignment vertical="center" wrapText="1"/>
    </xf>
    <xf numFmtId="0" fontId="13" fillId="0" borderId="0" pivotButton="0" quotePrefix="0" xfId="0"/>
    <xf numFmtId="0" fontId="0" fillId="13" borderId="1" pivotButton="0" quotePrefix="0" xfId="0"/>
    <xf numFmtId="0" fontId="0" fillId="12" borderId="1" pivotButton="0" quotePrefix="0" xfId="0"/>
    <xf numFmtId="0" fontId="9" fillId="11" borderId="1" pivotButton="0" quotePrefix="0" xfId="0"/>
    <xf numFmtId="0" fontId="8" fillId="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3" borderId="1" pivotButton="0" quotePrefix="0" xfId="0"/>
    <xf numFmtId="0" fontId="7" fillId="8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6" fillId="4" borderId="0" pivotButton="0" quotePrefix="0" xfId="0"/>
    <xf numFmtId="0" fontId="17" fillId="0" borderId="0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/>
      <c r="B1" t="inlineStr"/>
    </row>
    <row r="2">
      <c r="A2" s="1" t="inlineStr">
        <is>
          <t>PACK PILOTE ROBOSAFE</t>
        </is>
      </c>
      <c r="B2" t="inlineStr"/>
    </row>
    <row r="3">
      <c r="A3" s="2" t="inlineStr">
        <is>
          <t>Cellule Soudage MIG Robotisé</t>
        </is>
      </c>
      <c r="B3" t="inlineStr"/>
    </row>
    <row r="4">
      <c r="A4" t="inlineStr"/>
      <c r="B4" t="inlineStr"/>
    </row>
    <row r="5">
      <c r="A5" s="3" t="inlineStr">
        <is>
          <t>IDENTIFICATION CELLULE</t>
        </is>
      </c>
      <c r="B5" t="inlineStr"/>
    </row>
    <row r="6">
      <c r="A6" t="inlineStr">
        <is>
          <t>ID Cellule:</t>
        </is>
      </c>
      <c r="B6" t="inlineStr">
        <is>
          <t>WELD-MIG-001</t>
        </is>
      </c>
    </row>
    <row r="7">
      <c r="A7" t="inlineStr">
        <is>
          <t>Robot:</t>
        </is>
      </c>
      <c r="B7" t="inlineStr">
        <is>
          <t>Fanuc ARC Mate 100iD (12kg)</t>
        </is>
      </c>
    </row>
    <row r="8">
      <c r="A8" t="inlineStr">
        <is>
          <t>Effecteur:</t>
        </is>
      </c>
      <c r="B8" t="inlineStr">
        <is>
          <t>Torche soudage MIG</t>
        </is>
      </c>
    </row>
    <row r="9">
      <c r="A9" t="inlineStr">
        <is>
          <t>PLC:</t>
        </is>
      </c>
      <c r="B9" t="inlineStr">
        <is>
          <t>Siemens S7-1500F (PROFIsafe)</t>
        </is>
      </c>
    </row>
    <row r="10">
      <c r="A10" t="inlineStr">
        <is>
          <t>Sécurité existante:</t>
        </is>
      </c>
      <c r="B10" t="inlineStr">
        <is>
          <t>2× SICK microScan3 + Barrière immatérielle</t>
        </is>
      </c>
    </row>
    <row r="11">
      <c r="A11" t="inlineStr">
        <is>
          <t>Effectif:</t>
        </is>
      </c>
      <c r="B11" t="inlineStr">
        <is>
          <t>2 opérateurs/shift × 2 shifts</t>
        </is>
      </c>
    </row>
    <row r="12">
      <c r="A12" t="inlineStr"/>
      <c r="B12" t="inlineStr"/>
    </row>
    <row r="13">
      <c r="A13" s="3" t="inlineStr">
        <is>
          <t>OBJECTIFS PILOTE</t>
        </is>
      </c>
      <c r="B13" t="inlineStr"/>
    </row>
    <row r="14">
      <c r="A14" t="inlineStr">
        <is>
          <t>Objectif 1:</t>
        </is>
      </c>
      <c r="B14" t="inlineStr">
        <is>
          <t>Réduire expositions fumées soudage (↓30% temps &gt;80% VLEP)</t>
        </is>
      </c>
    </row>
    <row r="15">
      <c r="A15" t="inlineStr">
        <is>
          <t>Objectif 2:</t>
        </is>
      </c>
      <c r="B15" t="inlineStr">
        <is>
          <t>Réduire quasi-incidents intrusion (↓50%)</t>
        </is>
      </c>
    </row>
    <row r="16">
      <c r="A16" t="inlineStr">
        <is>
          <t>Objectif 3:</t>
        </is>
      </c>
      <c r="B16" t="inlineStr">
        <is>
          <t>Démontrer ROI positif &lt;18 mois</t>
        </is>
      </c>
    </row>
    <row r="17">
      <c r="A17" t="inlineStr"/>
      <c r="B17" t="inlineStr"/>
    </row>
    <row r="18">
      <c r="A18" s="3" t="inlineStr">
        <is>
          <t>LIVRABLES INCLUS</t>
        </is>
      </c>
      <c r="B18" t="inlineStr"/>
    </row>
    <row r="19">
      <c r="A19" t="inlineStr">
        <is>
          <t>1.</t>
        </is>
      </c>
      <c r="B19" t="inlineStr">
        <is>
          <t>Architecture (capteurs/interfaces/flux)</t>
        </is>
      </c>
    </row>
    <row r="20">
      <c r="A20" t="inlineStr">
        <is>
          <t>2.</t>
        </is>
      </c>
      <c r="B20" t="inlineStr">
        <is>
          <t>Analyse risques par scénarios + TOP10</t>
        </is>
      </c>
    </row>
    <row r="21">
      <c r="A21" t="inlineStr">
        <is>
          <t>3.</t>
        </is>
      </c>
      <c r="B21" t="inlineStr">
        <is>
          <t>Règles d'intervention + seuils prudents</t>
        </is>
      </c>
    </row>
    <row r="22">
      <c r="A22" t="inlineStr">
        <is>
          <t>4.</t>
        </is>
      </c>
      <c r="B22" t="inlineStr">
        <is>
          <t>Data Dictionary (signaux + KPI + ROI)</t>
        </is>
      </c>
    </row>
    <row r="23">
      <c r="A23" t="inlineStr">
        <is>
          <t>5.</t>
        </is>
      </c>
      <c r="B23" t="inlineStr">
        <is>
          <t>Plan de tests FAT/SAT</t>
        </is>
      </c>
    </row>
    <row r="24">
      <c r="A24" t="inlineStr">
        <is>
          <t>6.</t>
        </is>
      </c>
      <c r="B24" t="inlineStr">
        <is>
          <t>Plan de formation + quiz</t>
        </is>
      </c>
    </row>
    <row r="25">
      <c r="A25" t="inlineStr">
        <is>
          <t>7.</t>
        </is>
      </c>
      <c r="B25" t="inlineStr">
        <is>
          <t>Registre de changements</t>
        </is>
      </c>
    </row>
    <row r="26">
      <c r="A26" t="inlineStr"/>
      <c r="B26" t="inlineStr"/>
    </row>
    <row r="27">
      <c r="A27" s="3" t="inlineStr">
        <is>
          <t>MÉTADONNÉES</t>
        </is>
      </c>
      <c r="B27" t="inlineStr"/>
    </row>
    <row r="28">
      <c r="A28" t="inlineStr">
        <is>
          <t>Date création:</t>
        </is>
      </c>
      <c r="B28" t="inlineStr">
        <is>
          <t>2025-12-15</t>
        </is>
      </c>
    </row>
    <row r="29">
      <c r="A29" t="inlineStr">
        <is>
          <t>Version:</t>
        </is>
      </c>
      <c r="B29" t="inlineStr">
        <is>
          <t>1.0</t>
        </is>
      </c>
    </row>
    <row r="30">
      <c r="A30" t="inlineStr">
        <is>
          <t>Statut:</t>
        </is>
      </c>
      <c r="B30" t="inlineStr">
        <is>
          <t>DRAFT - À valider</t>
        </is>
      </c>
    </row>
    <row r="31">
      <c r="A31" t="inlineStr">
        <is>
          <t>Auteur:</t>
        </is>
      </c>
      <c r="B31" t="inlineStr">
        <is>
          <t>AgenticX5 RoboSafe Sentinel</t>
        </is>
      </c>
    </row>
    <row r="32">
      <c r="A32" t="inlineStr"/>
      <c r="B32" t="inlineStr"/>
    </row>
    <row r="33">
      <c r="A33" s="3" t="inlineStr">
        <is>
          <t>⚠️ LÉGENDE COULEURS</t>
        </is>
      </c>
      <c r="B33" t="inlineStr"/>
    </row>
    <row r="34">
      <c r="A34" t="inlineStr"/>
      <c r="B34" t="inlineStr"/>
    </row>
    <row r="36">
      <c r="A36" s="4" t="inlineStr">
        <is>
          <t>JAUNE</t>
        </is>
      </c>
      <c r="B36">
        <f> Donnée à renseigner (input)</f>
        <v/>
      </c>
    </row>
    <row r="37">
      <c r="A37" s="5" t="inlineStr">
        <is>
          <t>ROUGE CLAIR</t>
        </is>
      </c>
      <c r="B37">
        <f> Donnée À COLLECTER (baseline)</f>
        <v/>
      </c>
    </row>
    <row r="38">
      <c r="A38" s="6" t="inlineStr">
        <is>
          <t>BLEU</t>
        </is>
      </c>
      <c r="B38">
        <f> Mode AUTO</f>
        <v/>
      </c>
    </row>
    <row r="39">
      <c r="A39" s="7" t="inlineStr">
        <is>
          <t>VERT</t>
        </is>
      </c>
      <c r="B39">
        <f> Mode TEACH</f>
        <v/>
      </c>
    </row>
    <row r="40">
      <c r="A40" s="8" t="inlineStr">
        <is>
          <t>ORANGE</t>
        </is>
      </c>
      <c r="B40">
        <f> Mode MAINTENANCE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5" customWidth="1" min="3" max="3"/>
    <col width="20" customWidth="1" min="4" max="4"/>
    <col width="15" customWidth="1" min="5" max="5"/>
  </cols>
  <sheetData>
    <row r="1">
      <c r="A1" s="9" t="inlineStr">
        <is>
          <t>ARCHITECTURE D'INTÉGRATION - CELLULE SOUDAGE MIG</t>
        </is>
      </c>
    </row>
    <row r="3">
      <c r="A3" s="10" t="inlineStr">
        <is>
          <t>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</t>
        </is>
      </c>
    </row>
    <row r="4">
      <c r="A4" s="10" t="inlineStr">
        <is>
          <t>║                    ARCHITECTURE ROBOSAFE - CELLULE SOUDAGE MIG WELD-MIG-001                       ║</t>
        </is>
      </c>
    </row>
    <row r="5">
      <c r="A5" s="10" t="inlineStr">
        <is>
          <t>╠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╣</t>
        </is>
      </c>
    </row>
    <row r="6">
      <c r="A6" s="10" t="inlineStr">
        <is>
          <t>║                                                                                                  ║</t>
        </is>
      </c>
    </row>
    <row r="7">
      <c r="A7" s="10" t="inlineStr">
        <is>
          <t>║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║</t>
        </is>
      </c>
    </row>
    <row r="8">
      <c r="A8" s="10" t="inlineStr">
        <is>
          <t>║  │                              NIVEAU TERRAIN (OT)                                            │ ║</t>
        </is>
      </c>
    </row>
    <row r="9">
      <c r="A9" s="10" t="inlineStr">
        <is>
          <t>║  │                                                                                             │ ║</t>
        </is>
      </c>
    </row>
    <row r="10">
      <c r="A10" s="10" t="inlineStr">
        <is>
          <t>║  │  ┌──────────────┐  ┌──────────────┐  ┌──────────────┐  ┌──────────────┐  ┌──────────────┐  │ ║</t>
        </is>
      </c>
    </row>
    <row r="11">
      <c r="A11" s="10" t="inlineStr">
        <is>
          <t>║  │  │    FANUC     │  │   SIEMENS    │  │    SICK      │  │  BARRIÈRE    │  │   FRONIUS    │  │ ║</t>
        </is>
      </c>
    </row>
    <row r="12">
      <c r="A12" s="10" t="inlineStr">
        <is>
          <t>║  │  │  ARC Mate    │  │  S7-1500F    │  │ microScan3   │  │ IMMATÉRIELLE │  │  (source)    │  │ ║</t>
        </is>
      </c>
    </row>
    <row r="13">
      <c r="A13" s="10" t="inlineStr">
        <is>
          <t>║  │  │   100iD      │  │  (F-CPU)     │  │   (×2)       │  │   entrée     │  │              │  │ ║</t>
        </is>
      </c>
    </row>
    <row r="14">
      <c r="A14" s="10" t="inlineStr">
        <is>
          <t>║  │  │              │  │              │  │              │  │              │  │              │  │ ║</t>
        </is>
      </c>
    </row>
    <row r="15">
      <c r="A15" s="10" t="inlineStr">
        <is>
          <t>║  │  │ FANUC I/O    │  │  PROFIsafe   │  │  PROFIsafe   │  │  PROFIsafe   │  │ EtherNet/IP  │  │ ║</t>
        </is>
      </c>
    </row>
    <row r="16">
      <c r="A16" s="10" t="inlineStr">
        <is>
          <t>║  │  └──────┬───────┘  └──────┬───────┘  └──────┬───────┘  └──────┬───────┘  └──────┬───────┘  │ ║</t>
        </is>
      </c>
    </row>
    <row r="17">
      <c r="A17" s="10" t="inlineStr">
        <is>
          <t>║  │         │                 │                 │                 │                 │          │ ║</t>
        </is>
      </c>
    </row>
    <row r="18">
      <c r="A18" s="10" t="inlineStr">
        <is>
          <t>║  │         └────────────────┬┴─────────────────┴─────────────────┴─────────────────┘          │ ║</t>
        </is>
      </c>
    </row>
    <row r="19">
      <c r="A19" s="10" t="inlineStr">
        <is>
          <t>║  │                          │                                                                 │ ║</t>
        </is>
      </c>
    </row>
    <row r="20">
      <c r="A20" s="10" t="inlineStr">
        <is>
          <t>║  │                    ┌─────┴─────┐                                                           │ ║</t>
        </is>
      </c>
    </row>
    <row r="21">
      <c r="A21" s="10" t="inlineStr">
        <is>
          <t>║  │                    │  SWITCH   │  VLAN SAFETY (PROFIsafe, &lt;1ms)                            │ ║</t>
        </is>
      </c>
    </row>
    <row r="22">
      <c r="A22" s="10" t="inlineStr">
        <is>
          <t>║  │                    │INDUSTRIEL │                                                           │ ║</t>
        </is>
      </c>
    </row>
    <row r="23">
      <c r="A23" s="10" t="inlineStr">
        <is>
          <t>║  │                    └─────┬─────┘                                                           │ ║</t>
        </is>
      </c>
    </row>
    <row r="24">
      <c r="A24" s="10" t="inlineStr">
        <is>
          <t>║  └──────────────────────────┼─────────────────────────────────────────────────────────────────┘ ║</t>
        </is>
      </c>
    </row>
    <row r="25">
      <c r="A25" s="10" t="inlineStr">
        <is>
          <t>║                             │                                                                    ║</t>
        </is>
      </c>
    </row>
    <row r="26">
      <c r="A26" s="10" t="inlineStr">
        <is>
          <t>║                    ─────────┼───────── FIREWALL INDUSTRIEL ──────────                           ║</t>
        </is>
      </c>
    </row>
    <row r="27">
      <c r="A27" s="10" t="inlineStr">
        <is>
          <t>║                             │                                                                    ║</t>
        </is>
      </c>
    </row>
    <row r="28">
      <c r="A28" s="10" t="inlineStr">
        <is>
          <t>║  ┌──────────────────────────┼─────────────────────────────────────────────────────────────────┐ ║</t>
        </is>
      </c>
    </row>
    <row r="29">
      <c r="A29" s="10" t="inlineStr">
        <is>
          <t>║  │                    ┌─────┴─────┐      NIVEAU EDGE (ROBOSAFE)                                │ ║</t>
        </is>
      </c>
    </row>
    <row r="30">
      <c r="A30" s="10" t="inlineStr">
        <is>
          <t>║  │                    │  SWITCH   │                                                            │ ║</t>
        </is>
      </c>
    </row>
    <row r="31">
      <c r="A31" s="10" t="inlineStr">
        <is>
          <t>║  │                    │   EDGE    │  VLAN ROBOSAFE (&lt;10ms)                                     │ ║</t>
        </is>
      </c>
    </row>
    <row r="32">
      <c r="A32" s="10" t="inlineStr">
        <is>
          <t>║  │                    └─────┬─────┘                                                            │ ║</t>
        </is>
      </c>
    </row>
    <row r="33">
      <c r="A33" s="10" t="inlineStr">
        <is>
          <t>║  │         ┌────────────────┼────────────────┬────────────────┐                                │ ║</t>
        </is>
      </c>
    </row>
    <row r="34">
      <c r="A34" s="10" t="inlineStr">
        <is>
          <t>║  │         ▼                ▼                ▼                ▼                                │ ║</t>
        </is>
      </c>
    </row>
    <row r="35">
      <c r="A35" s="10" t="inlineStr">
        <is>
          <t>║  │  ┌──────────────┐ ┌──────────────┐ ┌──────────────┐ ┌──────────────┐                        │ ║</t>
        </is>
      </c>
    </row>
    <row r="36">
      <c r="A36" s="10" t="inlineStr">
        <is>
          <t>║  │  │  ROBOSAFE    │ │   CAMÉRA     │ │  CAPTEUR     │ │  DÉTECTEUR   │                        │ ║</t>
        </is>
      </c>
    </row>
    <row r="37">
      <c r="A37" s="10" t="inlineStr">
        <is>
          <t>║  │  │  EDGE NODE   │ │   VISION     │ │   FUMÉES     │ │  ARC UV      │                        │ ║</t>
        </is>
      </c>
    </row>
    <row r="38">
      <c r="A38" s="10" t="inlineStr">
        <is>
          <t>║  │  │              │ │  (présence)  │ │  (mg/m³)     │ │  (optionnel) │                        │ ║</t>
        </is>
      </c>
    </row>
    <row r="39">
      <c r="A39" s="10" t="inlineStr">
        <is>
          <t>║  │  │ Intel NUC    │ │  Basler/IDS  │ │  Testo/SKC   │ │              │                        │ ║</t>
        </is>
      </c>
    </row>
    <row r="40">
      <c r="A40" s="10" t="inlineStr">
        <is>
          <t>║  │  │ Ubuntu 22    │ │  GigE Vision │ │  Modbus TCP  │ │  4-20mA      │                        │ ║</t>
        </is>
      </c>
    </row>
    <row r="41">
      <c r="A41" s="10" t="inlineStr">
        <is>
          <t>║  │  └──────────────┘ └──────────────┘ └──────────────┘ └──────────────┘                        │ ║</t>
        </is>
      </c>
    </row>
    <row r="42">
      <c r="A42" s="10" t="inlineStr">
        <is>
          <t>║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║</t>
        </is>
      </c>
    </row>
    <row r="43">
      <c r="A43" s="10" t="inlineStr">
        <is>
          <t>║                                                                                                  ║</t>
        </is>
      </c>
    </row>
    <row r="44">
      <c r="A44" s="10" t="inlineStr">
        <is>
          <t>║  CAPTEURS ADDITIONNELS ROBOSAFE (À INSTALLER)                                                   ║</t>
        </is>
      </c>
    </row>
    <row r="45">
      <c r="A45" s="10" t="inlineStr">
        <is>
          <t>║  ─────────────────────────────────────────────                                                  ║</t>
        </is>
      </c>
    </row>
    <row r="46">
      <c r="A46" s="10" t="inlineStr">
        <is>
          <t>║  • 1× Caméra vision IA (détection présence, EPI, postures) - GigE Vision                        ║</t>
        </is>
      </c>
    </row>
    <row r="47">
      <c r="A47" s="10" t="inlineStr">
        <is>
          <t>║  • 1× Capteur fumées temps réel (mg/m³ ou indice 0-100) - Modbus TCP                           ║</t>
        </is>
      </c>
    </row>
    <row r="48">
      <c r="A48" s="10" t="inlineStr">
        <is>
          <t>║  • 1× Détecteur arc UV (optionnel, pour tracking exposition) - 4-20mA                          ║</t>
        </is>
      </c>
    </row>
    <row r="49">
      <c r="A49" s="10" t="inlineStr">
        <is>
          <t>║  • Wearables opérateurs (optionnel phase 2)                                                     ║</t>
        </is>
      </c>
    </row>
    <row r="50">
      <c r="A50" s="10" t="inlineStr">
        <is>
          <t>║                                                                                                  ║</t>
        </is>
      </c>
    </row>
    <row r="51">
      <c r="A51" s="10" t="inlineStr">
        <is>
          <t>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</t>
        </is>
      </c>
    </row>
    <row r="55">
      <c r="A55" s="11" t="inlineStr">
        <is>
          <t>INTERFACES ET PROTOCOLES</t>
        </is>
      </c>
    </row>
    <row r="57">
      <c r="A57" s="12" t="inlineStr">
        <is>
          <t>Équipement</t>
        </is>
      </c>
      <c r="B57" s="12" t="inlineStr">
        <is>
          <t>Interface</t>
        </is>
      </c>
      <c r="C57" s="12" t="inlineStr">
        <is>
          <t>Protocole</t>
        </is>
      </c>
      <c r="D57" s="12" t="inlineStr">
        <is>
          <t>Fréquence</t>
        </is>
      </c>
      <c r="E57" s="12" t="inlineStr">
        <is>
          <t>Données</t>
        </is>
      </c>
      <c r="F57" s="12" t="inlineStr">
        <is>
          <t>Statut</t>
        </is>
      </c>
    </row>
    <row r="58">
      <c r="A58" s="13" t="inlineStr">
        <is>
          <t>Fanuc ARC Mate 100iD</t>
        </is>
      </c>
      <c r="B58" s="13" t="inlineStr">
        <is>
          <t>Robot Controller</t>
        </is>
      </c>
      <c r="C58" s="13" t="inlineStr">
        <is>
          <t>FANUC I/O Link + EtherNet/IP</t>
        </is>
      </c>
      <c r="D58" s="13" t="inlineStr">
        <is>
          <t>100 Hz</t>
        </is>
      </c>
      <c r="E58" s="13" t="inlineStr">
        <is>
          <t>Position, vitesse, mode, états sécurité</t>
        </is>
      </c>
      <c r="F58" s="14" t="inlineStr">
        <is>
          <t>EXISTANT</t>
        </is>
      </c>
    </row>
    <row r="59">
      <c r="A59" s="13" t="inlineStr">
        <is>
          <t>Siemens S7-1500F</t>
        </is>
      </c>
      <c r="B59" s="13" t="inlineStr">
        <is>
          <t>Safety PLC</t>
        </is>
      </c>
      <c r="C59" s="13" t="inlineStr">
        <is>
          <t>PROFIsafe sur PROFINET</t>
        </is>
      </c>
      <c r="D59" s="13" t="inlineStr">
        <is>
          <t>100 Hz</t>
        </is>
      </c>
      <c r="E59" s="13" t="inlineStr">
        <is>
          <t>États sécurité, commandes STOP/SLOW</t>
        </is>
      </c>
      <c r="F59" s="14" t="inlineStr">
        <is>
          <t>EXISTANT</t>
        </is>
      </c>
    </row>
    <row r="60">
      <c r="A60" s="13" t="inlineStr">
        <is>
          <t>SICK microScan3 (×2)</t>
        </is>
      </c>
      <c r="B60" s="13" t="inlineStr">
        <is>
          <t>Scanner laser</t>
        </is>
      </c>
      <c r="C60" s="13" t="inlineStr">
        <is>
          <t>PROFIsafe</t>
        </is>
      </c>
      <c r="D60" s="13" t="inlineStr">
        <is>
          <t>50 Hz</t>
        </is>
      </c>
      <c r="E60" s="13" t="inlineStr">
        <is>
          <t>Zones CLEAR/WARN/PROTECT, distance min</t>
        </is>
      </c>
      <c r="F60" s="14" t="inlineStr">
        <is>
          <t>EXISTANT</t>
        </is>
      </c>
    </row>
    <row r="61">
      <c r="A61" s="13" t="inlineStr">
        <is>
          <t>Barrière immatérielle</t>
        </is>
      </c>
      <c r="B61" s="13" t="inlineStr">
        <is>
          <t>Rideau optique</t>
        </is>
      </c>
      <c r="C61" s="13" t="inlineStr">
        <is>
          <t>PROFIsafe</t>
        </is>
      </c>
      <c r="D61" s="13" t="inlineStr">
        <is>
          <t>100 Hz</t>
        </is>
      </c>
      <c r="E61" s="13" t="inlineStr">
        <is>
          <t>État libre/interrompu</t>
        </is>
      </c>
      <c r="F61" s="14" t="inlineStr">
        <is>
          <t>EXISTANT</t>
        </is>
      </c>
    </row>
    <row r="62">
      <c r="A62" s="13" t="inlineStr">
        <is>
          <t>Source soudage (Fronius?)</t>
        </is>
      </c>
      <c r="B62" s="13" t="inlineStr">
        <is>
          <t>Poste MIG</t>
        </is>
      </c>
      <c r="C62" s="13" t="inlineStr">
        <is>
          <t>EtherNet/IP ou I/O</t>
        </is>
      </c>
      <c r="D62" s="13" t="inlineStr">
        <is>
          <t>10 Hz</t>
        </is>
      </c>
      <c r="E62" s="13" t="inlineStr">
        <is>
          <t>Arc ON/OFF, courant, tension</t>
        </is>
      </c>
      <c r="F62" s="15" t="inlineStr">
        <is>
          <t>À VÉRIFIER</t>
        </is>
      </c>
    </row>
    <row r="63">
      <c r="A63" s="13" t="inlineStr">
        <is>
          <t>Caméra vision IA</t>
        </is>
      </c>
      <c r="B63" s="13" t="inlineStr">
        <is>
          <t>Edge Node</t>
        </is>
      </c>
      <c r="C63" s="13" t="inlineStr">
        <is>
          <t>GigE Vision</t>
        </is>
      </c>
      <c r="D63" s="13" t="inlineStr">
        <is>
          <t>30 Hz</t>
        </is>
      </c>
      <c r="E63" s="13" t="inlineStr">
        <is>
          <t>Présence, distance, EPI, posture</t>
        </is>
      </c>
      <c r="F63" s="16" t="inlineStr">
        <is>
          <t>À INSTALLER</t>
        </is>
      </c>
    </row>
    <row r="64">
      <c r="A64" s="13" t="inlineStr">
        <is>
          <t>Capteur fumées</t>
        </is>
      </c>
      <c r="B64" s="13" t="inlineStr">
        <is>
          <t>Edge Node</t>
        </is>
      </c>
      <c r="C64" s="13" t="inlineStr">
        <is>
          <t>Modbus TCP</t>
        </is>
      </c>
      <c r="D64" s="13" t="inlineStr">
        <is>
          <t>1 Hz</t>
        </is>
      </c>
      <c r="E64" s="13" t="inlineStr">
        <is>
          <t>Concentration mg/m³, indice</t>
        </is>
      </c>
      <c r="F64" s="16" t="inlineStr">
        <is>
          <t>À INSTALLER</t>
        </is>
      </c>
    </row>
    <row r="65">
      <c r="A65" s="13" t="inlineStr">
        <is>
          <t>RoboSafe Edge → PLC</t>
        </is>
      </c>
      <c r="B65" s="13" t="inlineStr">
        <is>
          <t>Interface sécurité</t>
        </is>
      </c>
      <c r="C65" s="13" t="inlineStr">
        <is>
          <t>PROFIsafe</t>
        </is>
      </c>
      <c r="D65" s="13" t="inlineStr">
        <is>
          <t>100 Hz</t>
        </is>
      </c>
      <c r="E65" s="13" t="inlineStr">
        <is>
          <t>Demandes SLOW/STOP</t>
        </is>
      </c>
      <c r="F65" s="16" t="inlineStr">
        <is>
          <t>À CONFIGURER</t>
        </is>
      </c>
    </row>
    <row r="70">
      <c r="A70" s="17" t="inlineStr">
        <is>
          <t>⚠️ DONNÉES À COLLECTER AVANT INTÉGRATION</t>
        </is>
      </c>
    </row>
    <row r="72">
      <c r="A72" s="12" t="inlineStr">
        <is>
          <t>#</t>
        </is>
      </c>
      <c r="B72" s="12" t="inlineStr">
        <is>
          <t>Donnée</t>
        </is>
      </c>
      <c r="C72" s="12" t="inlineStr">
        <is>
          <t>Source</t>
        </is>
      </c>
      <c r="D72" s="12" t="inlineStr">
        <is>
          <t>Responsable</t>
        </is>
      </c>
      <c r="E72" s="12" t="inlineStr">
        <is>
          <t>Statut</t>
        </is>
      </c>
    </row>
    <row r="73">
      <c r="A73" s="13" t="inlineStr">
        <is>
          <t>1</t>
        </is>
      </c>
      <c r="B73" s="13" t="inlineStr">
        <is>
          <t>Adresse IP / Configuration réseau PLC</t>
        </is>
      </c>
      <c r="C73" s="13" t="inlineStr">
        <is>
          <t>IT / Automatisme</t>
        </is>
      </c>
      <c r="D73" s="13" t="inlineStr"/>
      <c r="E73" s="13" t="inlineStr"/>
    </row>
    <row r="74">
      <c r="A74" s="13" t="inlineStr">
        <is>
          <t>2</t>
        </is>
      </c>
      <c r="B74" s="13" t="inlineStr">
        <is>
          <t>Plan réseau PROFINET existant</t>
        </is>
      </c>
      <c r="C74" s="13" t="inlineStr">
        <is>
          <t>IT / Automatisme</t>
        </is>
      </c>
      <c r="D74" s="13" t="inlineStr"/>
      <c r="E74" s="13" t="inlineStr"/>
    </row>
    <row r="75">
      <c r="A75" s="13" t="inlineStr">
        <is>
          <t>3</t>
        </is>
      </c>
      <c r="B75" s="13" t="inlineStr">
        <is>
          <t>Programme Safety PLC (export)</t>
        </is>
      </c>
      <c r="C75" s="13" t="inlineStr">
        <is>
          <t>Automatisme</t>
        </is>
      </c>
      <c r="D75" s="13" t="inlineStr"/>
      <c r="E75" s="13" t="inlineStr"/>
    </row>
    <row r="76">
      <c r="A76" s="13" t="inlineStr">
        <is>
          <t>4</t>
        </is>
      </c>
      <c r="B76" s="13" t="inlineStr">
        <is>
          <t>Configuration zones scanners SICK</t>
        </is>
      </c>
      <c r="C76" s="13" t="inlineStr">
        <is>
          <t>Intégrateur</t>
        </is>
      </c>
      <c r="D76" s="13" t="inlineStr"/>
      <c r="E76" s="13" t="inlineStr"/>
    </row>
    <row r="77">
      <c r="A77" s="13" t="inlineStr">
        <is>
          <t>5</t>
        </is>
      </c>
      <c r="B77" s="13" t="inlineStr">
        <is>
          <t>Modèle exact source soudage</t>
        </is>
      </c>
      <c r="C77" s="13" t="inlineStr">
        <is>
          <t>Production</t>
        </is>
      </c>
      <c r="D77" s="13" t="inlineStr"/>
      <c r="E77" s="13" t="inlineStr"/>
    </row>
    <row r="78">
      <c r="A78" s="13" t="inlineStr">
        <is>
          <t>6</t>
        </is>
      </c>
      <c r="B78" s="13" t="inlineStr">
        <is>
          <t>Documentation Fanuc (I/O Map)</t>
        </is>
      </c>
      <c r="C78" s="13" t="inlineStr">
        <is>
          <t>Intégrateur / Fanuc</t>
        </is>
      </c>
      <c r="D78" s="13" t="inlineStr"/>
      <c r="E78" s="13" t="inlineStr"/>
    </row>
    <row r="79">
      <c r="A79" s="13" t="inlineStr">
        <is>
          <t>7</t>
        </is>
      </c>
      <c r="B79" s="13" t="inlineStr">
        <is>
          <t>Plan implantation cellule (CAD)</t>
        </is>
      </c>
      <c r="C79" s="13" t="inlineStr">
        <is>
          <t>BE / Intégrateur</t>
        </is>
      </c>
      <c r="D79" s="13" t="inlineStr"/>
      <c r="E79" s="13" t="inlineStr"/>
    </row>
    <row r="80">
      <c r="A80" s="13" t="inlineStr">
        <is>
          <t>8</t>
        </is>
      </c>
      <c r="B80" s="13" t="inlineStr">
        <is>
          <t>Alimentation électrique disponible (capteurs)</t>
        </is>
      </c>
      <c r="C80" s="13" t="inlineStr">
        <is>
          <t>Maintenance</t>
        </is>
      </c>
      <c r="D80" s="13" t="inlineStr"/>
      <c r="E80" s="1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30" customWidth="1" min="4" max="4"/>
    <col width="28" customWidth="1" min="5" max="5"/>
    <col width="4" customWidth="1" min="6" max="6"/>
    <col width="4" customWidth="1" min="7" max="7"/>
    <col width="4" customWidth="1" min="8" max="8"/>
    <col width="6" customWidth="1" min="9" max="9"/>
    <col width="8" customWidth="1" min="10" max="10"/>
    <col width="25" customWidth="1" min="11" max="11"/>
    <col width="28" customWidth="1" min="12" max="12"/>
    <col width="8" customWidth="1" min="13" max="13"/>
  </cols>
  <sheetData>
    <row r="1">
      <c r="A1" s="9" t="inlineStr">
        <is>
          <t>ANALYSE DES RISQUES PAR SCÉNARIOS - CELLULE SOUDAGE MIG</t>
        </is>
      </c>
    </row>
    <row r="3">
      <c r="A3" s="11" t="inlineStr">
        <is>
          <t>SCÉNARIOS D'UTILISATION</t>
        </is>
      </c>
    </row>
    <row r="5">
      <c r="A5" s="12" t="inlineStr">
        <is>
          <t>Code</t>
        </is>
      </c>
      <c r="B5" s="12" t="inlineStr">
        <is>
          <t>Scénario</t>
        </is>
      </c>
      <c r="C5" s="12" t="inlineStr">
        <is>
          <t>Description</t>
        </is>
      </c>
      <c r="D5" s="12" t="inlineStr">
        <is>
          <t>Fréquence</t>
        </is>
      </c>
      <c r="E5" s="12" t="inlineStr">
        <is>
          <t>Durée typ.</t>
        </is>
      </c>
      <c r="F5" s="12" t="inlineStr">
        <is>
          <t>Opérateurs exposés</t>
        </is>
      </c>
    </row>
    <row r="6">
      <c r="A6" s="18" t="inlineStr">
        <is>
          <t>AUTO</t>
        </is>
      </c>
      <c r="B6" s="13" t="inlineStr">
        <is>
          <t>Production automatique</t>
        </is>
      </c>
      <c r="C6" s="13" t="inlineStr">
        <is>
          <t>Robot soude en cycle, opérateur hors cellule</t>
        </is>
      </c>
      <c r="D6" s="13" t="inlineStr">
        <is>
          <t>90%</t>
        </is>
      </c>
      <c r="E6" s="13" t="inlineStr">
        <is>
          <t>8h/shift</t>
        </is>
      </c>
      <c r="F6" s="13" t="inlineStr">
        <is>
          <t>0 (supervision)</t>
        </is>
      </c>
    </row>
    <row r="7">
      <c r="A7" s="19" t="inlineStr">
        <is>
          <t>TEACH</t>
        </is>
      </c>
      <c r="B7" s="13" t="inlineStr">
        <is>
          <t>Programmation/réglage</t>
        </is>
      </c>
      <c r="C7" s="13" t="inlineStr">
        <is>
          <t>Opérateur dans cellule, teach pendant, vitesse limitée</t>
        </is>
      </c>
      <c r="D7" s="13" t="inlineStr">
        <is>
          <t>5%</t>
        </is>
      </c>
      <c r="E7" s="13" t="inlineStr">
        <is>
          <t>30min-2h</t>
        </is>
      </c>
      <c r="F7" s="13" t="inlineStr">
        <is>
          <t>1</t>
        </is>
      </c>
    </row>
    <row r="8">
      <c r="A8" s="20" t="inlineStr">
        <is>
          <t>SETUP</t>
        </is>
      </c>
      <c r="B8" s="13" t="inlineStr">
        <is>
          <t>Changement de série</t>
        </is>
      </c>
      <c r="C8" s="13" t="inlineStr">
        <is>
          <t>Chargement pièces, changement outillage, pas de soudage</t>
        </is>
      </c>
      <c r="D8" s="13" t="inlineStr">
        <is>
          <t>3%</t>
        </is>
      </c>
      <c r="E8" s="13" t="inlineStr">
        <is>
          <t>15-30min</t>
        </is>
      </c>
      <c r="F8" s="13" t="inlineStr">
        <is>
          <t>1-2</t>
        </is>
      </c>
    </row>
    <row r="9">
      <c r="A9" s="21" t="inlineStr">
        <is>
          <t>MAINT</t>
        </is>
      </c>
      <c r="B9" s="13" t="inlineStr">
        <is>
          <t>Maintenance</t>
        </is>
      </c>
      <c r="C9" s="13" t="inlineStr">
        <is>
          <t>Intervention technique, robot arrêté, LOTO</t>
        </is>
      </c>
      <c r="D9" s="13" t="inlineStr">
        <is>
          <t>1%</t>
        </is>
      </c>
      <c r="E9" s="13" t="inlineStr">
        <is>
          <t>1-4h</t>
        </is>
      </c>
      <c r="F9" s="13" t="inlineStr">
        <is>
          <t>1-2</t>
        </is>
      </c>
    </row>
    <row r="10">
      <c r="A10" s="22" t="inlineStr">
        <is>
          <t>RECOVERY</t>
        </is>
      </c>
      <c r="B10" s="13" t="inlineStr">
        <is>
          <t>Reprise après arrêt</t>
        </is>
      </c>
      <c r="C10" s="13" t="inlineStr">
        <is>
          <t>Redémarrage après E-stop ou défaut</t>
        </is>
      </c>
      <c r="D10" s="13" t="inlineStr">
        <is>
          <t>1%</t>
        </is>
      </c>
      <c r="E10" s="13" t="inlineStr">
        <is>
          <t>5-15min</t>
        </is>
      </c>
      <c r="F10" s="13" t="inlineStr">
        <is>
          <t>1</t>
        </is>
      </c>
    </row>
    <row r="11">
      <c r="A11" s="23" t="inlineStr">
        <is>
          <t>CLEANING</t>
        </is>
      </c>
      <c r="B11" s="13" t="inlineStr">
        <is>
          <t>Nettoyage cellule</t>
        </is>
      </c>
      <c r="C11" s="13" t="inlineStr">
        <is>
          <t>Évacuation scories, nettoyage torche</t>
        </is>
      </c>
      <c r="D11" s="13" t="inlineStr">
        <is>
          <t>Quotidien</t>
        </is>
      </c>
      <c r="E11" s="13" t="inlineStr">
        <is>
          <t>15min</t>
        </is>
      </c>
      <c r="F11" s="13" t="inlineStr">
        <is>
          <t>1</t>
        </is>
      </c>
    </row>
    <row r="15">
      <c r="A15" s="11" t="inlineStr">
        <is>
          <t>ANALYSE DES RISQUES PAR SCÉNARIO</t>
        </is>
      </c>
    </row>
    <row r="17">
      <c r="A17" s="24" t="inlineStr">
        <is>
          <t>ID</t>
        </is>
      </c>
      <c r="B17" s="24" t="inlineStr">
        <is>
          <t>Scénario</t>
        </is>
      </c>
      <c r="C17" s="24" t="inlineStr">
        <is>
          <t>Danger</t>
        </is>
      </c>
      <c r="D17" s="24" t="inlineStr">
        <is>
          <t>Événement dangereux</t>
        </is>
      </c>
      <c r="E17" s="24" t="inlineStr">
        <is>
          <t>Dommage potentiel</t>
        </is>
      </c>
      <c r="F17" s="24" t="inlineStr">
        <is>
          <t>G</t>
        </is>
      </c>
      <c r="G17" s="24" t="inlineStr">
        <is>
          <t>F</t>
        </is>
      </c>
      <c r="H17" s="24" t="inlineStr">
        <is>
          <t>P</t>
        </is>
      </c>
      <c r="I17" s="24" t="inlineStr">
        <is>
          <t>Score</t>
        </is>
      </c>
      <c r="J17" s="24" t="inlineStr">
        <is>
          <t>Niveau</t>
        </is>
      </c>
      <c r="K17" s="24" t="inlineStr">
        <is>
          <t>Mesures existantes</t>
        </is>
      </c>
      <c r="L17" s="24" t="inlineStr">
        <is>
          <t>Mesures RoboSafe</t>
        </is>
      </c>
      <c r="M17" s="24" t="inlineStr">
        <is>
          <t>Score résiduel</t>
        </is>
      </c>
    </row>
    <row r="18">
      <c r="A18" s="25" t="inlineStr">
        <is>
          <t>R-01</t>
        </is>
      </c>
      <c r="B18" s="26" t="inlineStr">
        <is>
          <t>AUTO</t>
        </is>
      </c>
      <c r="C18" s="25" t="inlineStr">
        <is>
          <t>Fumées soudage MIG</t>
        </is>
      </c>
      <c r="D18" s="25" t="inlineStr">
        <is>
          <t>Inhalation fumées métalliques (Fe, Mn, Cr)</t>
        </is>
      </c>
      <c r="E18" s="25" t="inlineStr">
        <is>
          <t>Atteinte respiratoire chronique, fièvre des métaux</t>
        </is>
      </c>
      <c r="F18" s="25" t="n">
        <v>3</v>
      </c>
      <c r="G18" s="25" t="n">
        <v>4</v>
      </c>
      <c r="H18" s="25" t="n">
        <v>3</v>
      </c>
      <c r="I18" s="25">
        <f>F18*G18*H18</f>
        <v/>
      </c>
      <c r="J18" s="25" t="inlineStr"/>
      <c r="K18" s="25" t="inlineStr">
        <is>
          <t>Aspiration source, ventilation</t>
        </is>
      </c>
      <c r="L18" s="25" t="inlineStr">
        <is>
          <t>Capteur fumées + alerte &gt;80% VLEP</t>
        </is>
      </c>
      <c r="M18" s="25" t="inlineStr"/>
    </row>
    <row r="19">
      <c r="A19" s="25" t="inlineStr">
        <is>
          <t>R-02</t>
        </is>
      </c>
      <c r="B19" s="26" t="inlineStr">
        <is>
          <t>AUTO</t>
        </is>
      </c>
      <c r="C19" s="25" t="inlineStr">
        <is>
          <t>Arc électrique UV</t>
        </is>
      </c>
      <c r="D19" s="25" t="inlineStr">
        <is>
          <t>Exposition rayonnement UV/IR</t>
        </is>
      </c>
      <c r="E19" s="25" t="inlineStr">
        <is>
          <t>Coup d'arc (kératite), brûlures cutanées</t>
        </is>
      </c>
      <c r="F19" s="25" t="n">
        <v>3</v>
      </c>
      <c r="G19" s="25" t="n">
        <v>3</v>
      </c>
      <c r="H19" s="25" t="n">
        <v>2</v>
      </c>
      <c r="I19" s="25">
        <f>F19*G19*H19</f>
        <v/>
      </c>
      <c r="J19" s="25" t="inlineStr"/>
      <c r="K19" s="25" t="inlineStr">
        <is>
          <t>Rideaux anti-flash, lunettes</t>
        </is>
      </c>
      <c r="L19" s="25" t="inlineStr">
        <is>
          <t>Détection arc + présence = alerte</t>
        </is>
      </c>
      <c r="M19" s="25" t="inlineStr"/>
    </row>
    <row r="20">
      <c r="A20" s="25" t="inlineStr">
        <is>
          <t>R-03</t>
        </is>
      </c>
      <c r="B20" s="26" t="inlineStr">
        <is>
          <t>AUTO</t>
        </is>
      </c>
      <c r="C20" s="25" t="inlineStr">
        <is>
          <t>Projections métal</t>
        </is>
      </c>
      <c r="D20" s="25" t="inlineStr">
        <is>
          <t>Projection scories/métal en fusion</t>
        </is>
      </c>
      <c r="E20" s="25" t="inlineStr">
        <is>
          <t>Brûlures, lésions oculaires</t>
        </is>
      </c>
      <c r="F20" s="25" t="n">
        <v>3</v>
      </c>
      <c r="G20" s="25" t="n">
        <v>3</v>
      </c>
      <c r="H20" s="25" t="n">
        <v>2</v>
      </c>
      <c r="I20" s="25">
        <f>F20*G20*H20</f>
        <v/>
      </c>
      <c r="J20" s="25" t="inlineStr"/>
      <c r="K20" s="25" t="inlineStr">
        <is>
          <t>Écrans, EPI</t>
        </is>
      </c>
      <c r="L20" s="25" t="inlineStr">
        <is>
          <t>Vision: détection EPI manquant</t>
        </is>
      </c>
      <c r="M20" s="25" t="inlineStr"/>
    </row>
    <row r="21">
      <c r="A21" s="25" t="inlineStr">
        <is>
          <t>R-04</t>
        </is>
      </c>
      <c r="B21" s="26" t="inlineStr">
        <is>
          <t>AUTO</t>
        </is>
      </c>
      <c r="C21" s="25" t="inlineStr">
        <is>
          <t>Intrusion zone robot</t>
        </is>
      </c>
      <c r="D21" s="25" t="inlineStr">
        <is>
          <t>Opérateur entre pendant cycle</t>
        </is>
      </c>
      <c r="E21" s="25" t="inlineStr">
        <is>
          <t>Collision, écrasement</t>
        </is>
      </c>
      <c r="F21" s="25" t="n">
        <v>4</v>
      </c>
      <c r="G21" s="25" t="n">
        <v>2</v>
      </c>
      <c r="H21" s="25" t="n">
        <v>3</v>
      </c>
      <c r="I21" s="25">
        <f>F21*G21*H21</f>
        <v/>
      </c>
      <c r="J21" s="25" t="inlineStr"/>
      <c r="K21" s="25" t="inlineStr">
        <is>
          <t>Scanners, barrière</t>
        </is>
      </c>
      <c r="L21" s="25" t="inlineStr">
        <is>
          <t>Vision IA + scanners = STOP immédiat</t>
        </is>
      </c>
      <c r="M21" s="25" t="inlineStr"/>
    </row>
    <row r="22">
      <c r="A22" s="25" t="inlineStr">
        <is>
          <t>R-05</t>
        </is>
      </c>
      <c r="B22" s="26" t="inlineStr">
        <is>
          <t>AUTO</t>
        </is>
      </c>
      <c r="C22" s="25" t="inlineStr">
        <is>
          <t>Démarrage intempestif</t>
        </is>
      </c>
      <c r="D22" s="25" t="inlineStr">
        <is>
          <t>Robot redémarre pendant présence</t>
        </is>
      </c>
      <c r="E22" s="25" t="inlineStr">
        <is>
          <t>Collision grave</t>
        </is>
      </c>
      <c r="F22" s="25" t="n">
        <v>4</v>
      </c>
      <c r="G22" s="25" t="n">
        <v>1</v>
      </c>
      <c r="H22" s="25" t="n">
        <v>2</v>
      </c>
      <c r="I22" s="25">
        <f>F22*G22*H22</f>
        <v/>
      </c>
      <c r="J22" s="25" t="inlineStr"/>
      <c r="K22" s="25" t="inlineStr">
        <is>
          <t>Interlock, procédure</t>
        </is>
      </c>
      <c r="L22" s="25" t="inlineStr">
        <is>
          <t>Détection présence bloque reset</t>
        </is>
      </c>
      <c r="M22" s="25" t="inlineStr"/>
    </row>
    <row r="23">
      <c r="A23" s="25" t="inlineStr">
        <is>
          <t>R-06</t>
        </is>
      </c>
      <c r="B23" s="27" t="inlineStr">
        <is>
          <t>TEACH</t>
        </is>
      </c>
      <c r="C23" s="25" t="inlineStr">
        <is>
          <t>Collision robot-opérateur</t>
        </is>
      </c>
      <c r="D23" s="25" t="inlineStr">
        <is>
          <t>Contact pendant programmation</t>
        </is>
      </c>
      <c r="E23" s="25" t="inlineStr">
        <is>
          <t>Contusion, fracture, écrasement</t>
        </is>
      </c>
      <c r="F23" s="25" t="n">
        <v>3</v>
      </c>
      <c r="G23" s="25" t="n">
        <v>3</v>
      </c>
      <c r="H23" s="25" t="n">
        <v>3</v>
      </c>
      <c r="I23" s="25">
        <f>F23*G23*H23</f>
        <v/>
      </c>
      <c r="J23" s="25" t="inlineStr"/>
      <c r="K23" s="25" t="inlineStr">
        <is>
          <t>Vitesse 250mm/s, enabling</t>
        </is>
      </c>
      <c r="L23" s="25" t="inlineStr">
        <is>
          <t>Vision: distance &lt;1m = SLOW</t>
        </is>
      </c>
      <c r="M23" s="25" t="inlineStr"/>
    </row>
    <row r="24">
      <c r="A24" s="25" t="inlineStr">
        <is>
          <t>R-07</t>
        </is>
      </c>
      <c r="B24" s="27" t="inlineStr">
        <is>
          <t>TEACH</t>
        </is>
      </c>
      <c r="C24" s="25" t="inlineStr">
        <is>
          <t>Arc involontaire</t>
        </is>
      </c>
      <c r="D24" s="25" t="inlineStr">
        <is>
          <t>Déclenchement arc pendant réglage</t>
        </is>
      </c>
      <c r="E24" s="25" t="inlineStr">
        <is>
          <t>Coup d'arc, brûlure</t>
        </is>
      </c>
      <c r="F24" s="25" t="n">
        <v>3</v>
      </c>
      <c r="G24" s="25" t="n">
        <v>2</v>
      </c>
      <c r="H24" s="25" t="n">
        <v>2</v>
      </c>
      <c r="I24" s="25">
        <f>F24*G24*H24</f>
        <v/>
      </c>
      <c r="J24" s="25" t="inlineStr"/>
      <c r="K24" s="25" t="inlineStr">
        <is>
          <t>Interlock torche</t>
        </is>
      </c>
      <c r="L24" s="25" t="inlineStr">
        <is>
          <t>Détection arc + mode TEACH = ESTOP</t>
        </is>
      </c>
      <c r="M24" s="25" t="inlineStr"/>
    </row>
    <row r="25">
      <c r="A25" s="25" t="inlineStr">
        <is>
          <t>R-08</t>
        </is>
      </c>
      <c r="B25" s="27" t="inlineStr">
        <is>
          <t>TEACH</t>
        </is>
      </c>
      <c r="C25" s="25" t="inlineStr">
        <is>
          <t>Fumées résiduelles</t>
        </is>
      </c>
      <c r="D25" s="25" t="inlineStr">
        <is>
          <t>Exposition fumées après soudage</t>
        </is>
      </c>
      <c r="E25" s="25" t="inlineStr">
        <is>
          <t>Irritation respiratoire</t>
        </is>
      </c>
      <c r="F25" s="25" t="n">
        <v>2</v>
      </c>
      <c r="G25" s="25" t="n">
        <v>3</v>
      </c>
      <c r="H25" s="25" t="n">
        <v>3</v>
      </c>
      <c r="I25" s="25">
        <f>F25*G25*H25</f>
        <v/>
      </c>
      <c r="J25" s="25" t="inlineStr"/>
      <c r="K25" s="25" t="inlineStr">
        <is>
          <t>Ventilation</t>
        </is>
      </c>
      <c r="L25" s="25" t="inlineStr">
        <is>
          <t>Alerte si fumées &gt;50% et présence</t>
        </is>
      </c>
      <c r="M25" s="25" t="inlineStr"/>
    </row>
    <row r="26">
      <c r="A26" s="25" t="inlineStr">
        <is>
          <t>R-09</t>
        </is>
      </c>
      <c r="B26" s="27" t="inlineStr">
        <is>
          <t>TEACH</t>
        </is>
      </c>
      <c r="C26" s="25" t="inlineStr">
        <is>
          <t>Posture contraignante</t>
        </is>
      </c>
      <c r="D26" s="25" t="inlineStr">
        <is>
          <t>Position difficile pour réglage</t>
        </is>
      </c>
      <c r="E26" s="25" t="inlineStr">
        <is>
          <t>TMS (dos, épaules)</t>
        </is>
      </c>
      <c r="F26" s="25" t="n">
        <v>2</v>
      </c>
      <c r="G26" s="25" t="n">
        <v>3</v>
      </c>
      <c r="H26" s="25" t="n">
        <v>3</v>
      </c>
      <c r="I26" s="25">
        <f>F26*G26*H26</f>
        <v/>
      </c>
      <c r="J26" s="25" t="inlineStr"/>
      <c r="K26" s="25" t="inlineStr">
        <is>
          <t>Formation ergo</t>
        </is>
      </c>
      <c r="L26" s="25" t="inlineStr">
        <is>
          <t>Vision: RULA≥5 &gt;15min = alerte</t>
        </is>
      </c>
      <c r="M26" s="25" t="inlineStr"/>
    </row>
    <row r="27">
      <c r="A27" s="25" t="inlineStr">
        <is>
          <t>R-10</t>
        </is>
      </c>
      <c r="B27" s="28" t="inlineStr">
        <is>
          <t>SETUP</t>
        </is>
      </c>
      <c r="C27" s="25" t="inlineStr">
        <is>
          <t>Pièce lourde/chaude</t>
        </is>
      </c>
      <c r="D27" s="25" t="inlineStr">
        <is>
          <t>Manutention pièce soudée</t>
        </is>
      </c>
      <c r="E27" s="25" t="inlineStr">
        <is>
          <t>Brûlure, lombalgie, écrasement</t>
        </is>
      </c>
      <c r="F27" s="25" t="n">
        <v>3</v>
      </c>
      <c r="G27" s="25" t="n">
        <v>3</v>
      </c>
      <c r="H27" s="25" t="n">
        <v>2</v>
      </c>
      <c r="I27" s="25">
        <f>F27*G27*H27</f>
        <v/>
      </c>
      <c r="J27" s="25" t="inlineStr"/>
      <c r="K27" s="25" t="inlineStr">
        <is>
          <t>Gants, outillage</t>
        </is>
      </c>
      <c r="L27" s="25" t="inlineStr">
        <is>
          <t>N/A (hors périmètre IA)</t>
        </is>
      </c>
      <c r="M27" s="25" t="inlineStr"/>
    </row>
    <row r="28">
      <c r="A28" s="25" t="inlineStr">
        <is>
          <t>R-11</t>
        </is>
      </c>
      <c r="B28" s="28" t="inlineStr">
        <is>
          <t>SETUP</t>
        </is>
      </c>
      <c r="C28" s="25" t="inlineStr">
        <is>
          <t>Démarrage robot</t>
        </is>
      </c>
      <c r="D28" s="25" t="inlineStr">
        <is>
          <t>Robot bouge pendant changement</t>
        </is>
      </c>
      <c r="E28" s="25" t="inlineStr">
        <is>
          <t>Collision</t>
        </is>
      </c>
      <c r="F28" s="25" t="n">
        <v>4</v>
      </c>
      <c r="G28" s="25" t="n">
        <v>2</v>
      </c>
      <c r="H28" s="25" t="n">
        <v>2</v>
      </c>
      <c r="I28" s="25">
        <f>F28*G28*H28</f>
        <v/>
      </c>
      <c r="J28" s="25" t="inlineStr"/>
      <c r="K28" s="25" t="inlineStr">
        <is>
          <t>Mode SETUP, barrière</t>
        </is>
      </c>
      <c r="L28" s="25" t="inlineStr">
        <is>
          <t>Détection présence = robot bloqué</t>
        </is>
      </c>
      <c r="M28" s="25" t="inlineStr"/>
    </row>
    <row r="29">
      <c r="A29" s="25" t="inlineStr">
        <is>
          <t>R-12</t>
        </is>
      </c>
      <c r="B29" s="29" t="inlineStr">
        <is>
          <t>MAINT</t>
        </is>
      </c>
      <c r="C29" s="25" t="inlineStr">
        <is>
          <t>Énergie résiduelle</t>
        </is>
      </c>
      <c r="D29" s="25" t="inlineStr">
        <is>
          <t>Contact source sous tension</t>
        </is>
      </c>
      <c r="E29" s="25" t="inlineStr">
        <is>
          <t>Électrocution, brûlure</t>
        </is>
      </c>
      <c r="F29" s="25" t="n">
        <v>4</v>
      </c>
      <c r="G29" s="25" t="n">
        <v>2</v>
      </c>
      <c r="H29" s="25" t="n">
        <v>2</v>
      </c>
      <c r="I29" s="25">
        <f>F29*G29*H29</f>
        <v/>
      </c>
      <c r="J29" s="25" t="inlineStr"/>
      <c r="K29" s="25" t="inlineStr">
        <is>
          <t>LOTO, procédure</t>
        </is>
      </c>
      <c r="L29" s="25" t="inlineStr">
        <is>
          <t>Vérification LOTO + badge opérateur</t>
        </is>
      </c>
      <c r="M29" s="25" t="inlineStr"/>
    </row>
    <row r="30">
      <c r="A30" s="25" t="inlineStr">
        <is>
          <t>R-13</t>
        </is>
      </c>
      <c r="B30" s="29" t="inlineStr">
        <is>
          <t>MAINT</t>
        </is>
      </c>
      <c r="C30" s="25" t="inlineStr">
        <is>
          <t>Mouvement robot</t>
        </is>
      </c>
      <c r="D30" s="25" t="inlineStr">
        <is>
          <t>Robot bouge pendant intervention</t>
        </is>
      </c>
      <c r="E30" s="25" t="inlineStr">
        <is>
          <t>Écrasement</t>
        </is>
      </c>
      <c r="F30" s="25" t="n">
        <v>4</v>
      </c>
      <c r="G30" s="25" t="n">
        <v>1</v>
      </c>
      <c r="H30" s="25" t="n">
        <v>1</v>
      </c>
      <c r="I30" s="25">
        <f>F30*G30*H30</f>
        <v/>
      </c>
      <c r="J30" s="25" t="inlineStr"/>
      <c r="K30" s="25" t="inlineStr">
        <is>
          <t>LOTO, arrêt certifié</t>
        </is>
      </c>
      <c r="L30" s="25" t="inlineStr">
        <is>
          <t>Surveillance si LOTO non confirmé</t>
        </is>
      </c>
      <c r="M30" s="25" t="inlineStr"/>
    </row>
    <row r="31">
      <c r="A31" s="25" t="inlineStr">
        <is>
          <t>R-14</t>
        </is>
      </c>
      <c r="B31" s="29" t="inlineStr">
        <is>
          <t>MAINT</t>
        </is>
      </c>
      <c r="C31" s="25" t="inlineStr">
        <is>
          <t>Chute de hauteur</t>
        </is>
      </c>
      <c r="D31" s="25" t="inlineStr">
        <is>
          <t>Intervention sur partie haute</t>
        </is>
      </c>
      <c r="E31" s="25" t="inlineStr">
        <is>
          <t>Fracture, trauma crânien</t>
        </is>
      </c>
      <c r="F31" s="25" t="n">
        <v>3</v>
      </c>
      <c r="G31" s="25" t="n">
        <v>2</v>
      </c>
      <c r="H31" s="25" t="n">
        <v>2</v>
      </c>
      <c r="I31" s="25">
        <f>F31*G31*H31</f>
        <v/>
      </c>
      <c r="J31" s="25" t="inlineStr"/>
      <c r="K31" s="25" t="inlineStr">
        <is>
          <t>Plateforme, EPI</t>
        </is>
      </c>
      <c r="L31" s="25" t="inlineStr">
        <is>
          <t>N/A</t>
        </is>
      </c>
      <c r="M31" s="25" t="inlineStr"/>
    </row>
    <row r="32">
      <c r="A32" s="25" t="inlineStr">
        <is>
          <t>R-15</t>
        </is>
      </c>
      <c r="B32" s="30" t="inlineStr">
        <is>
          <t>RECOVERY</t>
        </is>
      </c>
      <c r="C32" s="25" t="inlineStr">
        <is>
          <t>Redémarrage dangereux</t>
        </is>
      </c>
      <c r="D32" s="25" t="inlineStr">
        <is>
          <t>Cycle reprend avec personne présente</t>
        </is>
      </c>
      <c r="E32" s="25" t="inlineStr">
        <is>
          <t>Collision</t>
        </is>
      </c>
      <c r="F32" s="25" t="n">
        <v>4</v>
      </c>
      <c r="G32" s="25" t="n">
        <v>2</v>
      </c>
      <c r="H32" s="25" t="n">
        <v>3</v>
      </c>
      <c r="I32" s="25">
        <f>F32*G32*H32</f>
        <v/>
      </c>
      <c r="J32" s="25" t="inlineStr"/>
      <c r="K32" s="25" t="inlineStr">
        <is>
          <t>Procédure reset</t>
        </is>
      </c>
      <c r="L32" s="25" t="inlineStr">
        <is>
          <t>Scan zone obligatoire avant reset</t>
        </is>
      </c>
      <c r="M32" s="25" t="inlineStr"/>
    </row>
    <row r="33">
      <c r="A33" s="25" t="inlineStr">
        <is>
          <t>R-16</t>
        </is>
      </c>
      <c r="B33" s="30" t="inlineStr">
        <is>
          <t>RECOVERY</t>
        </is>
      </c>
      <c r="C33" s="25" t="inlineStr">
        <is>
          <t>Arc post-défaut</t>
        </is>
      </c>
      <c r="D33" s="25" t="inlineStr">
        <is>
          <t>Arc reprend immédiatement</t>
        </is>
      </c>
      <c r="E33" s="25" t="inlineStr">
        <is>
          <t>Coup d'arc</t>
        </is>
      </c>
      <c r="F33" s="25" t="n">
        <v>3</v>
      </c>
      <c r="G33" s="25" t="n">
        <v>2</v>
      </c>
      <c r="H33" s="25" t="n">
        <v>2</v>
      </c>
      <c r="I33" s="25">
        <f>F33*G33*H33</f>
        <v/>
      </c>
      <c r="J33" s="25" t="inlineStr"/>
      <c r="K33" s="25" t="inlineStr">
        <is>
          <t>Séquence contrôlée</t>
        </is>
      </c>
      <c r="L33" s="25" t="inlineStr">
        <is>
          <t>Délai 5s + vérification zone</t>
        </is>
      </c>
      <c r="M33" s="25" t="inlineStr"/>
    </row>
    <row r="34">
      <c r="A34" s="25" t="inlineStr">
        <is>
          <t>R-17</t>
        </is>
      </c>
      <c r="B34" s="31" t="inlineStr">
        <is>
          <t>CLEANING</t>
        </is>
      </c>
      <c r="C34" s="25" t="inlineStr">
        <is>
          <t>Scories chaudes</t>
        </is>
      </c>
      <c r="D34" s="25" t="inlineStr">
        <is>
          <t>Contact scories après soudage</t>
        </is>
      </c>
      <c r="E34" s="25" t="inlineStr">
        <is>
          <t>Brûlure mains/bras</t>
        </is>
      </c>
      <c r="F34" s="25" t="n">
        <v>2</v>
      </c>
      <c r="G34" s="25" t="n">
        <v>3</v>
      </c>
      <c r="H34" s="25" t="n">
        <v>3</v>
      </c>
      <c r="I34" s="25">
        <f>F34*G34*H34</f>
        <v/>
      </c>
      <c r="J34" s="25" t="inlineStr"/>
      <c r="K34" s="25" t="inlineStr">
        <is>
          <t>Gants, temps refroidissement</t>
        </is>
      </c>
      <c r="L34" s="25" t="inlineStr">
        <is>
          <t>Alerte si nettoyage &lt;5min après arc</t>
        </is>
      </c>
      <c r="M34" s="25" t="inlineStr"/>
    </row>
    <row r="35">
      <c r="A35" s="25" t="inlineStr">
        <is>
          <t>R-18</t>
        </is>
      </c>
      <c r="B35" s="31" t="inlineStr">
        <is>
          <t>CLEANING</t>
        </is>
      </c>
      <c r="C35" s="25" t="inlineStr">
        <is>
          <t>Mouvement inattendu</t>
        </is>
      </c>
      <c r="D35" s="25" t="inlineStr">
        <is>
          <t>Robot bouge pendant nettoyage</t>
        </is>
      </c>
      <c r="E35" s="25" t="inlineStr">
        <is>
          <t>Collision</t>
        </is>
      </c>
      <c r="F35" s="25" t="n">
        <v>3</v>
      </c>
      <c r="G35" s="25" t="n">
        <v>2</v>
      </c>
      <c r="H35" s="25" t="n">
        <v>2</v>
      </c>
      <c r="I35" s="25">
        <f>F35*G35*H35</f>
        <v/>
      </c>
      <c r="J35" s="25" t="inlineStr"/>
      <c r="K35" s="25" t="inlineStr">
        <is>
          <t>Mode SETUP</t>
        </is>
      </c>
      <c r="L35" s="25" t="inlineStr">
        <is>
          <t>Détection présence = blocage</t>
        </is>
      </c>
      <c r="M35" s="25" t="inlineStr"/>
    </row>
    <row r="36">
      <c r="A36" s="25" t="inlineStr">
        <is>
          <t>R-19</t>
        </is>
      </c>
      <c r="B36" s="26" t="inlineStr">
        <is>
          <t>AUTO</t>
        </is>
      </c>
      <c r="C36" s="25" t="inlineStr">
        <is>
          <t>Gaz de protection (Ar/CO2)</t>
        </is>
      </c>
      <c r="D36" s="25" t="inlineStr">
        <is>
          <t>Fuite gaz, accumulation bas</t>
        </is>
      </c>
      <c r="E36" s="25" t="inlineStr">
        <is>
          <t>Asphyxie (espace confiné)</t>
        </is>
      </c>
      <c r="F36" s="25" t="n">
        <v>4</v>
      </c>
      <c r="G36" s="25" t="n">
        <v>1</v>
      </c>
      <c r="H36" s="25" t="n">
        <v>1</v>
      </c>
      <c r="I36" s="25">
        <f>F36*G36*H36</f>
        <v/>
      </c>
      <c r="J36" s="25" t="inlineStr"/>
      <c r="K36" s="25" t="inlineStr">
        <is>
          <t>Ventilation, détecteur O2</t>
        </is>
      </c>
      <c r="L36" s="25" t="inlineStr">
        <is>
          <t>Alerte si ventilation OFF + arc ON</t>
        </is>
      </c>
      <c r="M36" s="25" t="inlineStr"/>
    </row>
    <row r="37">
      <c r="A37" s="25" t="inlineStr">
        <is>
          <t>R-20</t>
        </is>
      </c>
      <c r="B37" s="26" t="inlineStr">
        <is>
          <t>AUTO</t>
        </is>
      </c>
      <c r="C37" s="25" t="inlineStr">
        <is>
          <t>Bruit arc</t>
        </is>
      </c>
      <c r="D37" s="25" t="inlineStr">
        <is>
          <t>Exposition bruit &gt;85 dB</t>
        </is>
      </c>
      <c r="E37" s="25" t="inlineStr">
        <is>
          <t>Surdité professionnelle</t>
        </is>
      </c>
      <c r="F37" s="25" t="n">
        <v>2</v>
      </c>
      <c r="G37" s="25" t="n">
        <v>4</v>
      </c>
      <c r="H37" s="25" t="n">
        <v>2</v>
      </c>
      <c r="I37" s="25">
        <f>F37*G37*H37</f>
        <v/>
      </c>
      <c r="J37" s="25" t="inlineStr"/>
      <c r="K37" s="25" t="inlineStr">
        <is>
          <t>Bouchons, capot</t>
        </is>
      </c>
      <c r="L37" s="25" t="inlineStr">
        <is>
          <t>Tracking temps exposition (optionnel)</t>
        </is>
      </c>
      <c r="M37" s="25" t="inlineStr"/>
    </row>
    <row r="38">
      <c r="A38" s="25" t="inlineStr">
        <is>
          <t>R-21</t>
        </is>
      </c>
      <c r="B38" s="32" t="inlineStr">
        <is>
          <t>ALL</t>
        </is>
      </c>
      <c r="C38" s="25" t="inlineStr">
        <is>
          <t>Override sécurité</t>
        </is>
      </c>
      <c r="D38" s="25" t="inlineStr">
        <is>
          <t>Désactivation volontaire protection</t>
        </is>
      </c>
      <c r="E38" s="25" t="inlineStr">
        <is>
          <t>Tout type accident</t>
        </is>
      </c>
      <c r="F38" s="25" t="n">
        <v>4</v>
      </c>
      <c r="G38" s="25" t="n">
        <v>2</v>
      </c>
      <c r="H38" s="25" t="n">
        <v>3</v>
      </c>
      <c r="I38" s="25">
        <f>F38*G38*H38</f>
        <v/>
      </c>
      <c r="J38" s="25" t="inlineStr"/>
      <c r="K38" s="25" t="inlineStr">
        <is>
          <t>Procédure, clé HSE</t>
        </is>
      </c>
      <c r="L38" s="25" t="inlineStr">
        <is>
          <t>Log + alerte si override &gt;3/sem</t>
        </is>
      </c>
      <c r="M38" s="25" t="inlineStr"/>
    </row>
    <row r="39">
      <c r="A39" s="25" t="inlineStr">
        <is>
          <t>R-22</t>
        </is>
      </c>
      <c r="B39" s="32" t="inlineStr">
        <is>
          <t>ALL</t>
        </is>
      </c>
      <c r="C39" s="25" t="inlineStr">
        <is>
          <t>Fatigue/stress</t>
        </is>
      </c>
      <c r="D39" s="25" t="inlineStr">
        <is>
          <t>Erreur humaine due fatigue</t>
        </is>
      </c>
      <c r="E39" s="25" t="inlineStr">
        <is>
          <t>Accident divers</t>
        </is>
      </c>
      <c r="F39" s="25" t="n">
        <v>3</v>
      </c>
      <c r="G39" s="25" t="n">
        <v>3</v>
      </c>
      <c r="H39" s="25" t="n">
        <v>2</v>
      </c>
      <c r="I39" s="25">
        <f>F39*G39*H39</f>
        <v/>
      </c>
      <c r="J39" s="25" t="inlineStr"/>
      <c r="K39" s="25" t="inlineStr">
        <is>
          <t>Rotation, pauses</t>
        </is>
      </c>
      <c r="L39" s="25" t="inlineStr">
        <is>
          <t>Analyse patterns comportement</t>
        </is>
      </c>
      <c r="M39" s="25" t="inlineStr"/>
    </row>
    <row r="45">
      <c r="A45" s="33" t="inlineStr">
        <is>
          <t>TOP 10 RISQUES PRIORITAIRES</t>
        </is>
      </c>
    </row>
    <row r="47">
      <c r="A47" s="34" t="inlineStr">
        <is>
          <t>Rang</t>
        </is>
      </c>
      <c r="B47" s="34" t="inlineStr">
        <is>
          <t>ID</t>
        </is>
      </c>
      <c r="C47" s="34" t="inlineStr">
        <is>
          <t>Risque</t>
        </is>
      </c>
      <c r="D47" s="34" t="inlineStr">
        <is>
          <t>Score</t>
        </is>
      </c>
      <c r="E47" s="34" t="inlineStr">
        <is>
          <t>Justification priorité</t>
        </is>
      </c>
      <c r="F47" s="34" t="inlineStr">
        <is>
          <t>Action RoboSafe</t>
        </is>
      </c>
    </row>
    <row r="48">
      <c r="A48" s="35" t="inlineStr">
        <is>
          <t>1</t>
        </is>
      </c>
      <c r="B48" s="25" t="inlineStr">
        <is>
          <t>R-01</t>
        </is>
      </c>
      <c r="C48" s="25" t="inlineStr">
        <is>
          <t>Fumées soudage (chronique)</t>
        </is>
      </c>
      <c r="D48" s="25" t="n">
        <v>36</v>
      </c>
      <c r="E48" s="25" t="inlineStr">
        <is>
          <t>Exposition quotidienne, risque santé long terme, objectif pilote</t>
        </is>
      </c>
      <c r="F48" s="25" t="inlineStr">
        <is>
          <t>Capteur fumées + alertes paliers + reporting exposition</t>
        </is>
      </c>
    </row>
    <row r="49">
      <c r="A49" s="35" t="inlineStr">
        <is>
          <t>2</t>
        </is>
      </c>
      <c r="B49" s="25" t="inlineStr">
        <is>
          <t>R-04</t>
        </is>
      </c>
      <c r="C49" s="25" t="inlineStr">
        <is>
          <t>Intrusion zone robot AUTO</t>
        </is>
      </c>
      <c r="D49" s="25" t="n">
        <v>24</v>
      </c>
      <c r="E49" s="25" t="inlineStr">
        <is>
          <t>Gravité maximale, objectif pilote quasi-incidents</t>
        </is>
      </c>
      <c r="F49" s="25" t="inlineStr">
        <is>
          <t>Vision IA + scanners = arrêt immédiat &lt;200ms</t>
        </is>
      </c>
    </row>
    <row r="50">
      <c r="A50" s="35" t="inlineStr">
        <is>
          <t>3</t>
        </is>
      </c>
      <c r="B50" s="25" t="inlineStr">
        <is>
          <t>R-15</t>
        </is>
      </c>
      <c r="C50" s="25" t="inlineStr">
        <is>
          <t>Redémarrage dangereux RECOVERY</t>
        </is>
      </c>
      <c r="D50" s="25" t="n">
        <v>24</v>
      </c>
      <c r="E50" s="25" t="inlineStr">
        <is>
          <t>Moment critique, erreurs fréquentes</t>
        </is>
      </c>
      <c r="F50" s="25" t="inlineStr">
        <is>
          <t>Scan zone + confirmation présence avant reset</t>
        </is>
      </c>
    </row>
    <row r="51">
      <c r="A51" s="36" t="inlineStr">
        <is>
          <t>4</t>
        </is>
      </c>
      <c r="B51" s="25" t="inlineStr">
        <is>
          <t>R-21</t>
        </is>
      </c>
      <c r="C51" s="25" t="inlineStr">
        <is>
          <t>Override sécurité</t>
        </is>
      </c>
      <c r="D51" s="25" t="n">
        <v>24</v>
      </c>
      <c r="E51" s="25" t="inlineStr">
        <is>
          <t>Contournement = tous risques, culture sécurité</t>
        </is>
      </c>
      <c r="F51" s="25" t="inlineStr">
        <is>
          <t>Logging obligatoire + alerte HSE si &gt;3/semaine</t>
        </is>
      </c>
    </row>
    <row r="52">
      <c r="A52" s="36" t="inlineStr">
        <is>
          <t>5</t>
        </is>
      </c>
      <c r="B52" s="25" t="inlineStr">
        <is>
          <t>R-06</t>
        </is>
      </c>
      <c r="C52" s="25" t="inlineStr">
        <is>
          <t>Collision TEACH</t>
        </is>
      </c>
      <c r="D52" s="25" t="n">
        <v>27</v>
      </c>
      <c r="E52" s="25" t="inlineStr">
        <is>
          <t>Fréquent, proximité opérateur, gravité modérée</t>
        </is>
      </c>
      <c r="F52" s="25" t="inlineStr">
        <is>
          <t>Vision: distance &lt;1m = SLOW 25%, &lt;0.5m = STOP</t>
        </is>
      </c>
    </row>
    <row r="53">
      <c r="A53" s="36" t="inlineStr">
        <is>
          <t>6</t>
        </is>
      </c>
      <c r="B53" s="25" t="inlineStr">
        <is>
          <t>R-02</t>
        </is>
      </c>
      <c r="C53" s="25" t="inlineStr">
        <is>
          <t>Arc UV exposition</t>
        </is>
      </c>
      <c r="D53" s="25" t="n">
        <v>18</v>
      </c>
      <c r="E53" s="25" t="inlineStr">
        <is>
          <t>Risque oculaire sérieux, souvent sous-estimé</t>
        </is>
      </c>
      <c r="F53" s="25" t="inlineStr">
        <is>
          <t>Détection arc actif + présence zone = alerte immédiate</t>
        </is>
      </c>
    </row>
    <row r="54">
      <c r="A54" s="37" t="inlineStr">
        <is>
          <t>7</t>
        </is>
      </c>
      <c r="B54" s="25" t="inlineStr">
        <is>
          <t>R-07</t>
        </is>
      </c>
      <c r="C54" s="25" t="inlineStr">
        <is>
          <t>Arc involontaire TEACH</t>
        </is>
      </c>
      <c r="D54" s="25" t="n">
        <v>12</v>
      </c>
      <c r="E54" s="25" t="inlineStr">
        <is>
          <t>Surprise, pas de protection portée</t>
        </is>
      </c>
      <c r="F54" s="25" t="inlineStr">
        <is>
          <t>Arc + mode TEACH = E-STOP + alerte</t>
        </is>
      </c>
    </row>
    <row r="55">
      <c r="A55" s="37" t="inlineStr">
        <is>
          <t>8</t>
        </is>
      </c>
      <c r="B55" s="25" t="inlineStr">
        <is>
          <t>R-11</t>
        </is>
      </c>
      <c r="C55" s="25" t="inlineStr">
        <is>
          <t>Démarrage robot SETUP</t>
        </is>
      </c>
      <c r="D55" s="25" t="n">
        <v>16</v>
      </c>
      <c r="E55" s="25" t="inlineStr">
        <is>
          <t>Changement série = vigilance réduite</t>
        </is>
      </c>
      <c r="F55" s="25" t="inlineStr">
        <is>
          <t>Présence détectée = robot bloqué jusqu'à zone libre</t>
        </is>
      </c>
    </row>
    <row r="56">
      <c r="A56" s="37" t="inlineStr">
        <is>
          <t>9</t>
        </is>
      </c>
      <c r="B56" s="25" t="inlineStr">
        <is>
          <t>R-03</t>
        </is>
      </c>
      <c r="C56" s="25" t="inlineStr">
        <is>
          <t>Projections métal</t>
        </is>
      </c>
      <c r="D56" s="25" t="n">
        <v>18</v>
      </c>
      <c r="E56" s="25" t="inlineStr">
        <is>
          <t>Risque quotidien, EPI critique</t>
        </is>
      </c>
      <c r="F56" s="25" t="inlineStr">
        <is>
          <t>Vision: détection EPI (lunettes, gants) manquant = alerte</t>
        </is>
      </c>
    </row>
    <row r="57">
      <c r="A57" s="37" t="inlineStr">
        <is>
          <t>10</t>
        </is>
      </c>
      <c r="B57" s="25" t="inlineStr">
        <is>
          <t>R-22</t>
        </is>
      </c>
      <c r="C57" s="25" t="inlineStr">
        <is>
          <t>Fatigue/stress</t>
        </is>
      </c>
      <c r="D57" s="25" t="n">
        <v>18</v>
      </c>
      <c r="E57" s="25" t="inlineStr">
        <is>
          <t>Cause racine de nombreux incidents</t>
        </is>
      </c>
      <c r="F57" s="25" t="inlineStr">
        <is>
          <t>Analyse comportement + alertes postures prolongées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45" customWidth="1" min="4" max="4"/>
    <col width="40" customWidth="1" min="5" max="5"/>
    <col width="10" customWidth="1" min="6" max="6"/>
    <col width="10" customWidth="1" min="7" max="7"/>
    <col width="18" customWidth="1" min="8" max="8"/>
    <col width="40" customWidth="1" min="9" max="9"/>
  </cols>
  <sheetData>
    <row r="1">
      <c r="A1" s="9" t="inlineStr">
        <is>
          <t>RÈGLES D'INTERVENTION ROBOSAFE - SEUILS PRUDENTS INITIAUX</t>
        </is>
      </c>
    </row>
    <row r="3">
      <c r="A3" s="38" t="inlineStr">
        <is>
          <t>⚠️ Seuils initiaux PRUDENTS - À ajuster après période de rodage (2-4 semaines)</t>
        </is>
      </c>
    </row>
    <row r="5">
      <c r="A5" s="12" t="inlineStr">
        <is>
          <t>ID</t>
        </is>
      </c>
      <c r="B5" s="12" t="inlineStr">
        <is>
          <t>Priorité</t>
        </is>
      </c>
      <c r="C5" s="12" t="inlineStr">
        <is>
          <t>Catégorie</t>
        </is>
      </c>
      <c r="D5" s="12" t="inlineStr">
        <is>
          <t>IF (conditions)</t>
        </is>
      </c>
      <c r="E5" s="12" t="inlineStr">
        <is>
          <t>THEN (action)</t>
        </is>
      </c>
      <c r="F5" s="12" t="inlineStr">
        <is>
          <t>Latence max</t>
        </is>
      </c>
      <c r="G5" s="12" t="inlineStr">
        <is>
          <t>État cible</t>
        </is>
      </c>
      <c r="H5" s="12" t="inlineStr">
        <is>
          <t>Seuil initial</t>
        </is>
      </c>
      <c r="I5" s="12" t="inlineStr">
        <is>
          <t>Log requis</t>
        </is>
      </c>
    </row>
    <row r="6">
      <c r="A6" s="25" t="inlineStr">
        <is>
          <t>RS-001</t>
        </is>
      </c>
      <c r="B6" s="35" t="inlineStr">
        <is>
          <t>P0</t>
        </is>
      </c>
      <c r="C6" s="25" t="inlineStr">
        <is>
          <t>E-STOP</t>
        </is>
      </c>
      <c r="D6" s="25" t="inlineStr">
        <is>
          <t>estop_pressed OR safety_fault</t>
        </is>
      </c>
      <c r="E6" s="25" t="inlineStr">
        <is>
          <t>ACTIVATE(STO); SET_STATE(ESTOP)</t>
        </is>
      </c>
      <c r="F6" s="25" t="inlineStr">
        <is>
          <t>50ms</t>
        </is>
      </c>
      <c r="G6" s="25" t="inlineStr">
        <is>
          <t>E-STOP</t>
        </is>
      </c>
      <c r="H6" s="25" t="inlineStr">
        <is>
          <t>N/A</t>
        </is>
      </c>
      <c r="I6" s="25" t="inlineStr">
        <is>
          <t>{ts, source, robot_state, position}</t>
        </is>
      </c>
    </row>
    <row r="7">
      <c r="A7" s="25" t="inlineStr">
        <is>
          <t>RS-002</t>
        </is>
      </c>
      <c r="B7" s="35" t="inlineStr">
        <is>
          <t>P0</t>
        </is>
      </c>
      <c r="C7" s="25" t="inlineStr">
        <is>
          <t>E-STOP</t>
        </is>
      </c>
      <c r="D7" s="25" t="inlineStr">
        <is>
          <t>plc_heartbeat_timeout &gt; 500ms</t>
        </is>
      </c>
      <c r="E7" s="25" t="inlineStr">
        <is>
          <t>ACTIVATE(STO); ALERT(HSE+MAINT)</t>
        </is>
      </c>
      <c r="F7" s="25" t="inlineStr">
        <is>
          <t>100ms</t>
        </is>
      </c>
      <c r="G7" s="25" t="inlineStr">
        <is>
          <t>E-STOP</t>
        </is>
      </c>
      <c r="H7" s="25" t="inlineStr">
        <is>
          <t>500ms</t>
        </is>
      </c>
      <c r="I7" s="25" t="inlineStr">
        <is>
          <t>{ts, last_heartbeat, duration}</t>
        </is>
      </c>
    </row>
    <row r="8">
      <c r="A8" s="25" t="inlineStr">
        <is>
          <t>RS-003</t>
        </is>
      </c>
      <c r="B8" s="35" t="inlineStr">
        <is>
          <t>P0</t>
        </is>
      </c>
      <c r="C8" s="25" t="inlineStr">
        <is>
          <t>E-STOP</t>
        </is>
      </c>
      <c r="D8" s="25" t="inlineStr">
        <is>
          <t>robosafe_heartbeat_timeout &gt; 500ms</t>
        </is>
      </c>
      <c r="E8" s="25" t="inlineStr">
        <is>
          <t>SET_MODE(FALLBACK); ALERT(HSE)</t>
        </is>
      </c>
      <c r="F8" s="25" t="inlineStr">
        <is>
          <t>500ms</t>
        </is>
      </c>
      <c r="G8" s="25" t="inlineStr">
        <is>
          <t>FALLBACK</t>
        </is>
      </c>
      <c r="H8" s="25" t="inlineStr">
        <is>
          <t>500ms</t>
        </is>
      </c>
      <c r="I8" s="25" t="inlineStr">
        <is>
          <t>{ts, fallback_reason}</t>
        </is>
      </c>
    </row>
    <row r="9">
      <c r="A9" s="25" t="inlineStr">
        <is>
          <t>RS-004</t>
        </is>
      </c>
      <c r="B9" s="35" t="inlineStr">
        <is>
          <t>P0</t>
        </is>
      </c>
      <c r="C9" s="25" t="inlineStr">
        <is>
          <t>E-STOP</t>
        </is>
      </c>
      <c r="D9" s="25" t="inlineStr">
        <is>
          <t>arc_on AND door_open</t>
        </is>
      </c>
      <c r="E9" s="25" t="inlineStr">
        <is>
          <t>ACTIVATE(STO); ALERT(OPERATOR)</t>
        </is>
      </c>
      <c r="F9" s="25" t="inlineStr">
        <is>
          <t>100ms</t>
        </is>
      </c>
      <c r="G9" s="25" t="inlineStr">
        <is>
          <t>E-STOP</t>
        </is>
      </c>
      <c r="H9" s="25" t="inlineStr">
        <is>
          <t>N/A</t>
        </is>
      </c>
      <c r="I9" s="25" t="inlineStr">
        <is>
          <t>{ts, arc_state, door_state}</t>
        </is>
      </c>
    </row>
    <row r="10">
      <c r="A10" s="25" t="inlineStr">
        <is>
          <t>RS-010</t>
        </is>
      </c>
      <c r="B10" s="39" t="inlineStr">
        <is>
          <t>P1</t>
        </is>
      </c>
      <c r="C10" s="25" t="inlineStr">
        <is>
          <t>STOP</t>
        </is>
      </c>
      <c r="D10" s="25" t="inlineStr">
        <is>
          <t>scanner_zone == PROTECT</t>
        </is>
      </c>
      <c r="E10" s="25" t="inlineStr">
        <is>
          <t>REQUEST(STOP_CAT1)</t>
        </is>
      </c>
      <c r="F10" s="25" t="inlineStr">
        <is>
          <t>200ms</t>
        </is>
      </c>
      <c r="G10" s="25" t="inlineStr">
        <is>
          <t>STOP</t>
        </is>
      </c>
      <c r="H10" s="25" t="inlineStr">
        <is>
          <t>Zone PROTECT = 500mm</t>
        </is>
      </c>
      <c r="I10" s="25" t="inlineStr">
        <is>
          <t>{ts, scanner_id, distance_min}</t>
        </is>
      </c>
    </row>
    <row r="11">
      <c r="A11" s="25" t="inlineStr">
        <is>
          <t>RS-011</t>
        </is>
      </c>
      <c r="B11" s="39" t="inlineStr">
        <is>
          <t>P1</t>
        </is>
      </c>
      <c r="C11" s="25" t="inlineStr">
        <is>
          <t>STOP</t>
        </is>
      </c>
      <c r="D11" s="25" t="inlineStr">
        <is>
          <t>vision_presence AND distance_min &lt; 800mm AND mode == AUTO</t>
        </is>
      </c>
      <c r="E11" s="25" t="inlineStr">
        <is>
          <t>REQUEST(STOP_CAT1)</t>
        </is>
      </c>
      <c r="F11" s="25" t="inlineStr">
        <is>
          <t>300ms</t>
        </is>
      </c>
      <c r="G11" s="25" t="inlineStr">
        <is>
          <t>STOP</t>
        </is>
      </c>
      <c r="H11" s="25" t="inlineStr">
        <is>
          <t>800mm (prudent)</t>
        </is>
      </c>
      <c r="I11" s="25" t="inlineStr">
        <is>
          <t>{ts, distance, confidence, image_ref}</t>
        </is>
      </c>
    </row>
    <row r="12">
      <c r="A12" s="25" t="inlineStr">
        <is>
          <t>RS-012</t>
        </is>
      </c>
      <c r="B12" s="39" t="inlineStr">
        <is>
          <t>P1</t>
        </is>
      </c>
      <c r="C12" s="25" t="inlineStr">
        <is>
          <t>STOP</t>
        </is>
      </c>
      <c r="D12" s="25" t="inlineStr">
        <is>
          <t>arc_on AND mode == TEACH</t>
        </is>
      </c>
      <c r="E12" s="25" t="inlineStr">
        <is>
          <t>REQUEST(STOP_CAT0); ALERT(OPERATOR)</t>
        </is>
      </c>
      <c r="F12" s="25" t="inlineStr">
        <is>
          <t>100ms</t>
        </is>
      </c>
      <c r="G12" s="25" t="inlineStr">
        <is>
          <t>E-STOP</t>
        </is>
      </c>
      <c r="H12" s="25" t="inlineStr">
        <is>
          <t>N/A</t>
        </is>
      </c>
      <c r="I12" s="25" t="inlineStr">
        <is>
          <t>{ts, arc_state, mode}</t>
        </is>
      </c>
    </row>
    <row r="13">
      <c r="A13" s="25" t="inlineStr">
        <is>
          <t>RS-013</t>
        </is>
      </c>
      <c r="B13" s="39" t="inlineStr">
        <is>
          <t>P1</t>
        </is>
      </c>
      <c r="C13" s="25" t="inlineStr">
        <is>
          <t>STOP</t>
        </is>
      </c>
      <c r="D13" s="25" t="inlineStr">
        <is>
          <t>fumes_vlep_ratio &gt; 1.2</t>
        </is>
      </c>
      <c r="E13" s="25" t="inlineStr">
        <is>
          <t>REQUEST(STOP_CAT1); ALERT(OPERATOR, HSE)</t>
        </is>
      </c>
      <c r="F13" s="25" t="inlineStr">
        <is>
          <t>2000ms</t>
        </is>
      </c>
      <c r="G13" s="25" t="inlineStr">
        <is>
          <t>STOP</t>
        </is>
      </c>
      <c r="H13" s="25" t="inlineStr">
        <is>
          <t>120% VLEP</t>
        </is>
      </c>
      <c r="I13" s="25" t="inlineStr">
        <is>
          <t>{ts, concentration, vlep_ratio}</t>
        </is>
      </c>
    </row>
    <row r="14">
      <c r="A14" s="25" t="inlineStr">
        <is>
          <t>RS-014</t>
        </is>
      </c>
      <c r="B14" s="39" t="inlineStr">
        <is>
          <t>P1</t>
        </is>
      </c>
      <c r="C14" s="25" t="inlineStr">
        <is>
          <t>STOP</t>
        </is>
      </c>
      <c r="D14" s="25" t="inlineStr">
        <is>
          <t>reset_request AND presence_detected</t>
        </is>
      </c>
      <c r="E14" s="25" t="inlineStr">
        <is>
          <t>BLOCK_RESET; ALERT(OPERATOR)</t>
        </is>
      </c>
      <c r="F14" s="25" t="inlineStr">
        <is>
          <t>N/A</t>
        </is>
      </c>
      <c r="G14" s="25" t="inlineStr">
        <is>
          <t>STOP</t>
        </is>
      </c>
      <c r="H14" s="25" t="inlineStr">
        <is>
          <t>Toute présence</t>
        </is>
      </c>
      <c r="I14" s="25" t="inlineStr">
        <is>
          <t>{ts, presence_zone, operator_action}</t>
        </is>
      </c>
    </row>
    <row r="15">
      <c r="A15" s="25" t="inlineStr">
        <is>
          <t>RS-020</t>
        </is>
      </c>
      <c r="B15" s="37" t="inlineStr">
        <is>
          <t>P2</t>
        </is>
      </c>
      <c r="C15" s="25" t="inlineStr">
        <is>
          <t>SLOW_50</t>
        </is>
      </c>
      <c r="D15" s="25" t="inlineStr">
        <is>
          <t>scanner_zone == WARN</t>
        </is>
      </c>
      <c r="E15" s="25" t="inlineStr">
        <is>
          <t>REQUEST(SLOW_50)</t>
        </is>
      </c>
      <c r="F15" s="25" t="inlineStr">
        <is>
          <t>200ms</t>
        </is>
      </c>
      <c r="G15" s="25" t="inlineStr">
        <is>
          <t>SLOW</t>
        </is>
      </c>
      <c r="H15" s="25" t="inlineStr">
        <is>
          <t>Zone WARN = 1200mm</t>
        </is>
      </c>
      <c r="I15" s="25" t="inlineStr">
        <is>
          <t>{ts, scanner_zones, speed_before}</t>
        </is>
      </c>
    </row>
    <row r="16">
      <c r="A16" s="25" t="inlineStr">
        <is>
          <t>RS-021</t>
        </is>
      </c>
      <c r="B16" s="37" t="inlineStr">
        <is>
          <t>P2</t>
        </is>
      </c>
      <c r="C16" s="25" t="inlineStr">
        <is>
          <t>SLOW_50</t>
        </is>
      </c>
      <c r="D16" s="25" t="inlineStr">
        <is>
          <t>vision_presence AND distance_min &lt; 1500mm AND mode == AUTO</t>
        </is>
      </c>
      <c r="E16" s="25" t="inlineStr">
        <is>
          <t>REQUEST(SLOW_50)</t>
        </is>
      </c>
      <c r="F16" s="25" t="inlineStr">
        <is>
          <t>300ms</t>
        </is>
      </c>
      <c r="G16" s="25" t="inlineStr">
        <is>
          <t>SLOW</t>
        </is>
      </c>
      <c r="H16" s="25" t="inlineStr">
        <is>
          <t>1500mm (prudent)</t>
        </is>
      </c>
      <c r="I16" s="25" t="inlineStr">
        <is>
          <t>{ts, distance, speed_reduction}</t>
        </is>
      </c>
    </row>
    <row r="17">
      <c r="A17" s="25" t="inlineStr">
        <is>
          <t>RS-022</t>
        </is>
      </c>
      <c r="B17" s="37" t="inlineStr">
        <is>
          <t>P2</t>
        </is>
      </c>
      <c r="C17" s="25" t="inlineStr">
        <is>
          <t>SLOW_25</t>
        </is>
      </c>
      <c r="D17" s="25" t="inlineStr">
        <is>
          <t>vision_presence AND distance_min &lt; 1000mm AND mode == TEACH</t>
        </is>
      </c>
      <c r="E17" s="25" t="inlineStr">
        <is>
          <t>REQUEST(SLOW_25)</t>
        </is>
      </c>
      <c r="F17" s="25" t="inlineStr">
        <is>
          <t>200ms</t>
        </is>
      </c>
      <c r="G17" s="25" t="inlineStr">
        <is>
          <t>SLOW</t>
        </is>
      </c>
      <c r="H17" s="25" t="inlineStr">
        <is>
          <t>1000mm TEACH</t>
        </is>
      </c>
      <c r="I17" s="25" t="inlineStr">
        <is>
          <t>{ts, distance, mode}</t>
        </is>
      </c>
    </row>
    <row r="18">
      <c r="A18" s="25" t="inlineStr">
        <is>
          <t>RS-023</t>
        </is>
      </c>
      <c r="B18" s="37" t="inlineStr">
        <is>
          <t>P2</t>
        </is>
      </c>
      <c r="C18" s="25" t="inlineStr">
        <is>
          <t>SLOW_25</t>
        </is>
      </c>
      <c r="D18" s="25" t="inlineStr">
        <is>
          <t>fumes_vlep_ratio &gt; 1.0 AND fumes_vlep_ratio &lt;= 1.2</t>
        </is>
      </c>
      <c r="E18" s="25" t="inlineStr">
        <is>
          <t>REQUEST(SLOW_25); ALERT(OPERATOR)</t>
        </is>
      </c>
      <c r="F18" s="25" t="inlineStr">
        <is>
          <t>3000ms</t>
        </is>
      </c>
      <c r="G18" s="25" t="inlineStr">
        <is>
          <t>SLOW</t>
        </is>
      </c>
      <c r="H18" s="25" t="inlineStr">
        <is>
          <t>100-120% VLEP</t>
        </is>
      </c>
      <c r="I18" s="25" t="inlineStr">
        <is>
          <t>{ts, concentration, action}</t>
        </is>
      </c>
    </row>
    <row r="19">
      <c r="A19" s="25" t="inlineStr">
        <is>
          <t>RS-030</t>
        </is>
      </c>
      <c r="B19" s="40" t="inlineStr">
        <is>
          <t>P3</t>
        </is>
      </c>
      <c r="C19" s="25" t="inlineStr">
        <is>
          <t>ALERT</t>
        </is>
      </c>
      <c r="D19" s="25" t="inlineStr">
        <is>
          <t>fumes_vlep_ratio &gt; 0.8 AND fumes_vlep_ratio &lt;= 1.0</t>
        </is>
      </c>
      <c r="E19" s="25" t="inlineStr">
        <is>
          <t>ALERT(OPERATOR); LOG_EXPOSURE()</t>
        </is>
      </c>
      <c r="F19" s="25" t="inlineStr">
        <is>
          <t>5000ms</t>
        </is>
      </c>
      <c r="G19" s="25" t="inlineStr">
        <is>
          <t>WARNING</t>
        </is>
      </c>
      <c r="H19" s="25" t="inlineStr">
        <is>
          <t>80-100% VLEP</t>
        </is>
      </c>
      <c r="I19" s="25" t="inlineStr">
        <is>
          <t>{ts, concentration, duration_above}</t>
        </is>
      </c>
    </row>
    <row r="20">
      <c r="A20" s="25" t="inlineStr">
        <is>
          <t>RS-031</t>
        </is>
      </c>
      <c r="B20" s="40" t="inlineStr">
        <is>
          <t>P3</t>
        </is>
      </c>
      <c r="C20" s="25" t="inlineStr">
        <is>
          <t>ALERT</t>
        </is>
      </c>
      <c r="D20" s="25" t="inlineStr">
        <is>
          <t>fumes_vlep_ratio &gt; 0.5 AND duration &gt; 30min</t>
        </is>
      </c>
      <c r="E20" s="25" t="inlineStr">
        <is>
          <t>ALERT(HSE); LOG_CHRONIC_EXPOSURE()</t>
        </is>
      </c>
      <c r="F20" s="25" t="inlineStr">
        <is>
          <t>N/A</t>
        </is>
      </c>
      <c r="G20" s="25" t="inlineStr">
        <is>
          <t>WARNING</t>
        </is>
      </c>
      <c r="H20" s="25" t="inlineStr">
        <is>
          <t>50% VLEP &gt;30min</t>
        </is>
      </c>
      <c r="I20" s="25" t="inlineStr">
        <is>
          <t>{ts, avg_concentration, total_duration}</t>
        </is>
      </c>
    </row>
    <row r="21">
      <c r="A21" s="25" t="inlineStr">
        <is>
          <t>RS-032</t>
        </is>
      </c>
      <c r="B21" s="40" t="inlineStr">
        <is>
          <t>P3</t>
        </is>
      </c>
      <c r="C21" s="25" t="inlineStr">
        <is>
          <t>ALERT</t>
        </is>
      </c>
      <c r="D21" s="25" t="inlineStr">
        <is>
          <t>arc_on AND presence_detected AND mode == AUTO</t>
        </is>
      </c>
      <c r="E21" s="25" t="inlineStr">
        <is>
          <t>ALERT(OPERATOR, 'ARC_EXPOSURE')</t>
        </is>
      </c>
      <c r="F21" s="25" t="inlineStr">
        <is>
          <t>1000ms</t>
        </is>
      </c>
      <c r="G21" s="25" t="inlineStr">
        <is>
          <t>WARNING</t>
        </is>
      </c>
      <c r="H21" s="25" t="inlineStr">
        <is>
          <t>Toute présence + arc</t>
        </is>
      </c>
      <c r="I21" s="25" t="inlineStr">
        <is>
          <t>{ts, arc_duration, presence_zone}</t>
        </is>
      </c>
    </row>
    <row r="22">
      <c r="A22" s="25" t="inlineStr">
        <is>
          <t>RS-033</t>
        </is>
      </c>
      <c r="B22" s="40" t="inlineStr">
        <is>
          <t>P3</t>
        </is>
      </c>
      <c r="C22" s="25" t="inlineStr">
        <is>
          <t>ALERT</t>
        </is>
      </c>
      <c r="D22" s="25" t="inlineStr">
        <is>
          <t>ppe_missing == TRUE AND zone == DANGER</t>
        </is>
      </c>
      <c r="E22" s="25" t="inlineStr">
        <is>
          <t>ALERT(OPERATOR, 'EPI_MANQUANT')</t>
        </is>
      </c>
      <c r="F22" s="25" t="inlineStr">
        <is>
          <t>2000ms</t>
        </is>
      </c>
      <c r="G22" s="25" t="inlineStr">
        <is>
          <t>WARNING</t>
        </is>
      </c>
      <c r="H22" s="25" t="inlineStr">
        <is>
          <t>Lunettes ou gants</t>
        </is>
      </c>
      <c r="I22" s="25" t="inlineStr">
        <is>
          <t>{ts, ppe_type, operator_id}</t>
        </is>
      </c>
    </row>
    <row r="23">
      <c r="A23" s="25" t="inlineStr">
        <is>
          <t>RS-034</t>
        </is>
      </c>
      <c r="B23" s="40" t="inlineStr">
        <is>
          <t>P3</t>
        </is>
      </c>
      <c r="C23" s="25" t="inlineStr">
        <is>
          <t>ALERT</t>
        </is>
      </c>
      <c r="D23" s="25" t="inlineStr">
        <is>
          <t>posture_rula &gt;= 5 AND duration &gt; 10min</t>
        </is>
      </c>
      <c r="E23" s="25" t="inlineStr">
        <is>
          <t>ALERT(OPERATOR, 'POSTURE_CRITIQUE')</t>
        </is>
      </c>
      <c r="F23" s="25" t="inlineStr">
        <is>
          <t>N/A</t>
        </is>
      </c>
      <c r="G23" s="25" t="inlineStr">
        <is>
          <t>WARNING</t>
        </is>
      </c>
      <c r="H23" s="25" t="inlineStr">
        <is>
          <t>RULA≥5 &gt;10min</t>
        </is>
      </c>
      <c r="I23" s="25" t="inlineStr">
        <is>
          <t>{ts, rula_score, duration, posture_type}</t>
        </is>
      </c>
    </row>
    <row r="24">
      <c r="A24" s="25" t="inlineStr">
        <is>
          <t>RS-035</t>
        </is>
      </c>
      <c r="B24" s="40" t="inlineStr">
        <is>
          <t>P3</t>
        </is>
      </c>
      <c r="C24" s="25" t="inlineStr">
        <is>
          <t>ALERT</t>
        </is>
      </c>
      <c r="D24" s="25" t="inlineStr">
        <is>
          <t>override_count &gt; 3 AND period == WEEK</t>
        </is>
      </c>
      <c r="E24" s="25" t="inlineStr">
        <is>
          <t>ALERT(HSE, 'OVERRIDES_EXCESSIFS')</t>
        </is>
      </c>
      <c r="F24" s="25" t="inlineStr">
        <is>
          <t>N/A</t>
        </is>
      </c>
      <c r="G24" s="25" t="inlineStr">
        <is>
          <t>N/A</t>
        </is>
      </c>
      <c r="H24" s="25" t="inlineStr">
        <is>
          <t>3/semaine</t>
        </is>
      </c>
      <c r="I24" s="25" t="inlineStr">
        <is>
          <t>{ts, override_list, operators}</t>
        </is>
      </c>
    </row>
    <row r="25">
      <c r="A25" s="25" t="inlineStr">
        <is>
          <t>RS-036</t>
        </is>
      </c>
      <c r="B25" s="40" t="inlineStr">
        <is>
          <t>P3</t>
        </is>
      </c>
      <c r="C25" s="25" t="inlineStr">
        <is>
          <t>ALERT</t>
        </is>
      </c>
      <c r="D25" s="25" t="inlineStr">
        <is>
          <t>ventilation_status == OFF AND arc_on</t>
        </is>
      </c>
      <c r="E25" s="25" t="inlineStr">
        <is>
          <t>ALERT(OPERATOR+HSE, 'VENTILATION_OFF')</t>
        </is>
      </c>
      <c r="F25" s="25" t="inlineStr">
        <is>
          <t>5000ms</t>
        </is>
      </c>
      <c r="G25" s="25" t="inlineStr">
        <is>
          <t>WARNING</t>
        </is>
      </c>
      <c r="H25" s="25" t="inlineStr">
        <is>
          <t>Ventilation OFF + arc</t>
        </is>
      </c>
      <c r="I25" s="25" t="inlineStr">
        <is>
          <t>{ts, ventilation_state, arc_duration}</t>
        </is>
      </c>
    </row>
    <row r="26">
      <c r="A26" s="25" t="inlineStr">
        <is>
          <t>RS-037</t>
        </is>
      </c>
      <c r="B26" s="40" t="inlineStr">
        <is>
          <t>P3</t>
        </is>
      </c>
      <c r="C26" s="25" t="inlineStr">
        <is>
          <t>ALERT</t>
        </is>
      </c>
      <c r="D26" s="25" t="inlineStr">
        <is>
          <t>cleaning_request AND time_since_arc &lt; 5min</t>
        </is>
      </c>
      <c r="E26" s="25" t="inlineStr">
        <is>
          <t>ALERT(OPERATOR, 'ATTENDRE_REFROIDISSEMENT')</t>
        </is>
      </c>
      <c r="F26" s="25" t="inlineStr">
        <is>
          <t>N/A</t>
        </is>
      </c>
      <c r="G26" s="25" t="inlineStr">
        <is>
          <t>WARNING</t>
        </is>
      </c>
      <c r="H26" s="25" t="inlineStr">
        <is>
          <t>5min après arc</t>
        </is>
      </c>
      <c r="I26" s="25" t="inlineStr">
        <is>
          <t>{ts, time_since_arc, temperature_if_available}</t>
        </is>
      </c>
    </row>
    <row r="27">
      <c r="A27" s="25" t="inlineStr">
        <is>
          <t>RS-040</t>
        </is>
      </c>
      <c r="B27" s="41" t="inlineStr">
        <is>
          <t>P4</t>
        </is>
      </c>
      <c r="C27" s="25" t="inlineStr">
        <is>
          <t>DIAG</t>
        </is>
      </c>
      <c r="D27" s="25" t="inlineStr">
        <is>
          <t>camera_status != OK</t>
        </is>
      </c>
      <c r="E27" s="25" t="inlineStr">
        <is>
          <t>SET_DEGRADED(VISION); ALERT(MAINT)</t>
        </is>
      </c>
      <c r="F27" s="25" t="inlineStr">
        <is>
          <t>1000ms</t>
        </is>
      </c>
      <c r="G27" s="25" t="inlineStr">
        <is>
          <t>DEGRADED</t>
        </is>
      </c>
      <c r="H27" s="25" t="inlineStr">
        <is>
          <t>Tout défaut</t>
        </is>
      </c>
      <c r="I27" s="25" t="inlineStr">
        <is>
          <t>{ts, camera_id, error_code}</t>
        </is>
      </c>
    </row>
    <row r="28">
      <c r="A28" s="25" t="inlineStr">
        <is>
          <t>RS-041</t>
        </is>
      </c>
      <c r="B28" s="41" t="inlineStr">
        <is>
          <t>P4</t>
        </is>
      </c>
      <c r="C28" s="25" t="inlineStr">
        <is>
          <t>DIAG</t>
        </is>
      </c>
      <c r="D28" s="25" t="inlineStr">
        <is>
          <t>fumes_sensor_status != OK</t>
        </is>
      </c>
      <c r="E28" s="25" t="inlineStr">
        <is>
          <t>SET_DEGRADED(FUMES); ALERT(HSE+MAINT)</t>
        </is>
      </c>
      <c r="F28" s="25" t="inlineStr">
        <is>
          <t>1000ms</t>
        </is>
      </c>
      <c r="G28" s="25" t="inlineStr">
        <is>
          <t>DEGRADED</t>
        </is>
      </c>
      <c r="H28" s="25" t="inlineStr">
        <is>
          <t>Tout défaut</t>
        </is>
      </c>
      <c r="I28" s="25" t="inlineStr">
        <is>
          <t>{ts, sensor_id, last_valid}</t>
        </is>
      </c>
    </row>
    <row r="29">
      <c r="A29" s="25" t="inlineStr">
        <is>
          <t>RS-042</t>
        </is>
      </c>
      <c r="B29" s="41" t="inlineStr">
        <is>
          <t>P4</t>
        </is>
      </c>
      <c r="C29" s="25" t="inlineStr">
        <is>
          <t>DIAG</t>
        </is>
      </c>
      <c r="D29" s="25" t="inlineStr">
        <is>
          <t>ai_confidence &lt; 0.6 AND duration &gt; 30s</t>
        </is>
      </c>
      <c r="E29" s="25" t="inlineStr">
        <is>
          <t>INCREASE_MARGIN(+30%); ALERT(HSE)</t>
        </is>
      </c>
      <c r="F29" s="25" t="inlineStr">
        <is>
          <t>N/A</t>
        </is>
      </c>
      <c r="G29" s="25" t="inlineStr">
        <is>
          <t>WARNING</t>
        </is>
      </c>
      <c r="H29" s="25" t="inlineStr">
        <is>
          <t>60% confiance</t>
        </is>
      </c>
      <c r="I29" s="25" t="inlineStr">
        <is>
          <t>{ts, confidence_avg, detection_type}</t>
        </is>
      </c>
    </row>
    <row r="35">
      <c r="A35" s="42" t="inlineStr">
        <is>
          <t>SEUILS FUMÉES SOUDAGE (référence VLEP)</t>
        </is>
      </c>
    </row>
    <row r="37">
      <c r="A37" s="12" t="inlineStr">
        <is>
          <t>Niveau</t>
        </is>
      </c>
      <c r="B37" s="12" t="inlineStr">
        <is>
          <t>% VLEP</t>
        </is>
      </c>
      <c r="C37" s="12" t="inlineStr">
        <is>
          <t>Concentration typ. (mg/m³)</t>
        </is>
      </c>
      <c r="D37" s="12" t="inlineStr">
        <is>
          <t>Action RoboSafe</t>
        </is>
      </c>
      <c r="E37" s="12" t="inlineStr">
        <is>
          <t>Signalisation</t>
        </is>
      </c>
    </row>
    <row r="38">
      <c r="A38" s="14" t="inlineStr">
        <is>
          <t>VERT</t>
        </is>
      </c>
      <c r="B38" s="13" t="inlineStr">
        <is>
          <t>&lt;50%</t>
        </is>
      </c>
      <c r="C38" s="13" t="inlineStr">
        <is>
          <t>&lt;2.5</t>
        </is>
      </c>
      <c r="D38" s="13" t="inlineStr">
        <is>
          <t>Aucune</t>
        </is>
      </c>
      <c r="E38" s="13" t="inlineStr">
        <is>
          <t>Dashboard vert</t>
        </is>
      </c>
    </row>
    <row r="39">
      <c r="A39" s="43" t="inlineStr">
        <is>
          <t>JAUNE</t>
        </is>
      </c>
      <c r="B39" s="13" t="inlineStr">
        <is>
          <t>50-80%</t>
        </is>
      </c>
      <c r="C39" s="13" t="inlineStr">
        <is>
          <t>2.5-4.0</t>
        </is>
      </c>
      <c r="D39" s="13" t="inlineStr">
        <is>
          <t>Log exposition, compteur temps</t>
        </is>
      </c>
      <c r="E39" s="13" t="inlineStr">
        <is>
          <t>Dashboard jaune</t>
        </is>
      </c>
    </row>
    <row r="40">
      <c r="A40" s="44" t="inlineStr">
        <is>
          <t>ORANGE</t>
        </is>
      </c>
      <c r="B40" s="13" t="inlineStr">
        <is>
          <t>80-100%</t>
        </is>
      </c>
      <c r="C40" s="13" t="inlineStr">
        <is>
          <t>4.0-5.0</t>
        </is>
      </c>
      <c r="D40" s="13" t="inlineStr">
        <is>
          <t>Alerte opérateur, log HSE</t>
        </is>
      </c>
      <c r="E40" s="13" t="inlineStr">
        <is>
          <t>Dashboard orange + alerte sonore</t>
        </is>
      </c>
    </row>
    <row r="41">
      <c r="A41" s="45" t="inlineStr">
        <is>
          <t>ROUGE</t>
        </is>
      </c>
      <c r="B41" s="13" t="inlineStr">
        <is>
          <t>100-120%</t>
        </is>
      </c>
      <c r="C41" s="13" t="inlineStr">
        <is>
          <t>5.0-6.0</t>
        </is>
      </c>
      <c r="D41" s="13" t="inlineStr">
        <is>
          <t>Alerte + SLOW cycle, notification HSE</t>
        </is>
      </c>
      <c r="E41" s="13" t="inlineStr">
        <is>
          <t>Dashboard rouge clignotant</t>
        </is>
      </c>
    </row>
    <row r="42">
      <c r="A42" s="45" t="inlineStr">
        <is>
          <t>CRITIQUE</t>
        </is>
      </c>
      <c r="B42" s="13" t="inlineStr">
        <is>
          <t>&gt;120%</t>
        </is>
      </c>
      <c r="C42" s="13" t="inlineStr">
        <is>
          <t>&gt;6.0</t>
        </is>
      </c>
      <c r="D42" s="13" t="inlineStr">
        <is>
          <t>STOP cycle, évacuation zone, HSE immédiat</t>
        </is>
      </c>
      <c r="E42" s="13" t="inlineStr">
        <is>
          <t>Sirène + dashboard rouge fixe</t>
        </is>
      </c>
    </row>
    <row r="45">
      <c r="A45" s="17" t="inlineStr">
        <is>
          <t>⚠️ VLEP fumées soudage acier = 5 mg/m³ (France/QC). À CONFIRMER selon métal soudé.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8" customWidth="1" min="4" max="4"/>
    <col width="14" customWidth="1" min="5" max="5"/>
    <col width="8" customWidth="1" min="6" max="6"/>
    <col width="12" customWidth="1" min="7" max="7"/>
    <col width="15" customWidth="1" min="8" max="8"/>
    <col width="8" customWidth="1" min="9" max="9"/>
    <col width="15" customWidth="1" min="10" max="10"/>
  </cols>
  <sheetData>
    <row r="1">
      <c r="A1" s="9" t="inlineStr">
        <is>
          <t>DATA DICTIONARY - SIGNAUX, KPI, ROI</t>
        </is>
      </c>
    </row>
    <row r="3">
      <c r="A3" s="11" t="inlineStr">
        <is>
          <t>A. SIGNAUX TEMPS RÉEL</t>
        </is>
      </c>
    </row>
    <row r="5">
      <c r="A5" s="12" t="inlineStr">
        <is>
          <t>ID</t>
        </is>
      </c>
      <c r="B5" s="12" t="inlineStr">
        <is>
          <t>Nom</t>
        </is>
      </c>
      <c r="C5" s="12" t="inlineStr">
        <is>
          <t>Description</t>
        </is>
      </c>
      <c r="D5" s="12" t="inlineStr">
        <is>
          <t>Source</t>
        </is>
      </c>
      <c r="E5" s="12" t="inlineStr">
        <is>
          <t>Protocole</t>
        </is>
      </c>
      <c r="F5" s="12" t="inlineStr">
        <is>
          <t>Fréq.</t>
        </is>
      </c>
      <c r="G5" s="12" t="inlineStr">
        <is>
          <t>Type</t>
        </is>
      </c>
      <c r="H5" s="12" t="inlineStr">
        <is>
          <t>Plage</t>
        </is>
      </c>
      <c r="I5" s="12" t="inlineStr">
        <is>
          <t>Unité</t>
        </is>
      </c>
      <c r="J5" s="12" t="inlineStr">
        <is>
          <t>Fail-safe</t>
        </is>
      </c>
    </row>
    <row r="6">
      <c r="A6" s="25" t="inlineStr">
        <is>
          <t>SIG-01</t>
        </is>
      </c>
      <c r="B6" s="25" t="inlineStr">
        <is>
          <t>fanuc_tcp_speed</t>
        </is>
      </c>
      <c r="C6" s="25" t="inlineStr">
        <is>
          <t>Vitesse TCP robot</t>
        </is>
      </c>
      <c r="D6" s="25" t="inlineStr">
        <is>
          <t>Fanuc R-30iB+</t>
        </is>
      </c>
      <c r="E6" s="25" t="inlineStr">
        <is>
          <t>EtherNet/IP</t>
        </is>
      </c>
      <c r="F6" s="25" t="inlineStr">
        <is>
          <t>100Hz</t>
        </is>
      </c>
      <c r="G6" s="25" t="inlineStr">
        <is>
          <t>REAL</t>
        </is>
      </c>
      <c r="H6" s="25" t="inlineStr">
        <is>
          <t>0-2000</t>
        </is>
      </c>
      <c r="I6" s="25" t="inlineStr">
        <is>
          <t>mm/s</t>
        </is>
      </c>
      <c r="J6" s="25" t="inlineStr">
        <is>
          <t>0</t>
        </is>
      </c>
    </row>
    <row r="7">
      <c r="A7" s="25" t="inlineStr">
        <is>
          <t>SIG-02</t>
        </is>
      </c>
      <c r="B7" s="25" t="inlineStr">
        <is>
          <t>fanuc_tcp_position</t>
        </is>
      </c>
      <c r="C7" s="25" t="inlineStr">
        <is>
          <t>Position TCP (X,Y,Z,W,P,R)</t>
        </is>
      </c>
      <c r="D7" s="25" t="inlineStr">
        <is>
          <t>Fanuc R-30iB+</t>
        </is>
      </c>
      <c r="E7" s="25" t="inlineStr">
        <is>
          <t>EtherNet/IP</t>
        </is>
      </c>
      <c r="F7" s="25" t="inlineStr">
        <is>
          <t>100Hz</t>
        </is>
      </c>
      <c r="G7" s="25" t="inlineStr">
        <is>
          <t>REAL[6]</t>
        </is>
      </c>
      <c r="H7" s="25" t="inlineStr">
        <is>
          <t>±2000</t>
        </is>
      </c>
      <c r="I7" s="25" t="inlineStr">
        <is>
          <t>mm,deg</t>
        </is>
      </c>
      <c r="J7" s="25" t="inlineStr">
        <is>
          <t>Last valid</t>
        </is>
      </c>
    </row>
    <row r="8">
      <c r="A8" s="25" t="inlineStr">
        <is>
          <t>SIG-03</t>
        </is>
      </c>
      <c r="B8" s="25" t="inlineStr">
        <is>
          <t>fanuc_mode</t>
        </is>
      </c>
      <c r="C8" s="25" t="inlineStr">
        <is>
          <t>Mode robot actif</t>
        </is>
      </c>
      <c r="D8" s="25" t="inlineStr">
        <is>
          <t>Fanuc R-30iB+</t>
        </is>
      </c>
      <c r="E8" s="25" t="inlineStr">
        <is>
          <t>EtherNet/IP</t>
        </is>
      </c>
      <c r="F8" s="25" t="inlineStr">
        <is>
          <t>10Hz</t>
        </is>
      </c>
      <c r="G8" s="25" t="inlineStr">
        <is>
          <t>ENUM</t>
        </is>
      </c>
      <c r="H8" s="25" t="inlineStr">
        <is>
          <t>AUTO/T1/T2</t>
        </is>
      </c>
      <c r="I8" s="25" t="inlineStr">
        <is>
          <t>-</t>
        </is>
      </c>
      <c r="J8" s="25" t="inlineStr">
        <is>
          <t>T1</t>
        </is>
      </c>
    </row>
    <row r="9">
      <c r="A9" s="25" t="inlineStr">
        <is>
          <t>SIG-04</t>
        </is>
      </c>
      <c r="B9" s="25" t="inlineStr">
        <is>
          <t>fanuc_program_state</t>
        </is>
      </c>
      <c r="C9" s="25" t="inlineStr">
        <is>
          <t>État programme</t>
        </is>
      </c>
      <c r="D9" s="25" t="inlineStr">
        <is>
          <t>Fanuc R-30iB+</t>
        </is>
      </c>
      <c r="E9" s="25" t="inlineStr">
        <is>
          <t>EtherNet/IP</t>
        </is>
      </c>
      <c r="F9" s="25" t="inlineStr">
        <is>
          <t>10Hz</t>
        </is>
      </c>
      <c r="G9" s="25" t="inlineStr">
        <is>
          <t>ENUM</t>
        </is>
      </c>
      <c r="H9" s="25" t="inlineStr">
        <is>
          <t>RUN/PAUSE/ABORT</t>
        </is>
      </c>
      <c r="I9" s="25" t="inlineStr">
        <is>
          <t>-</t>
        </is>
      </c>
      <c r="J9" s="25" t="inlineStr">
        <is>
          <t>ABORT</t>
        </is>
      </c>
    </row>
    <row r="10">
      <c r="A10" s="25" t="inlineStr">
        <is>
          <t>SIG-05</t>
        </is>
      </c>
      <c r="B10" s="25" t="inlineStr">
        <is>
          <t>fanuc_servo_on</t>
        </is>
      </c>
      <c r="C10" s="25" t="inlineStr">
        <is>
          <t>Servos activés</t>
        </is>
      </c>
      <c r="D10" s="25" t="inlineStr">
        <is>
          <t>Fanuc R-30iB+</t>
        </is>
      </c>
      <c r="E10" s="25" t="inlineStr">
        <is>
          <t>EtherNet/IP</t>
        </is>
      </c>
      <c r="F10" s="25" t="inlineStr">
        <is>
          <t>100Hz</t>
        </is>
      </c>
      <c r="G10" s="25" t="inlineStr">
        <is>
          <t>BOOL</t>
        </is>
      </c>
      <c r="H10" s="25" t="inlineStr">
        <is>
          <t>0/1</t>
        </is>
      </c>
      <c r="I10" s="25" t="inlineStr">
        <is>
          <t>-</t>
        </is>
      </c>
      <c r="J10" s="25" t="inlineStr">
        <is>
          <t>0</t>
        </is>
      </c>
    </row>
    <row r="11">
      <c r="A11" s="25" t="inlineStr">
        <is>
          <t>SIG-10</t>
        </is>
      </c>
      <c r="B11" s="25" t="inlineStr">
        <is>
          <t>plc_heartbeat</t>
        </is>
      </c>
      <c r="C11" s="25" t="inlineStr">
        <is>
          <t>Heartbeat Safety PLC</t>
        </is>
      </c>
      <c r="D11" s="25" t="inlineStr">
        <is>
          <t>S7-1500F</t>
        </is>
      </c>
      <c r="E11" s="25" t="inlineStr">
        <is>
          <t>PROFIsafe</t>
        </is>
      </c>
      <c r="F11" s="25" t="inlineStr">
        <is>
          <t>100Hz</t>
        </is>
      </c>
      <c r="G11" s="25" t="inlineStr">
        <is>
          <t>UINT16</t>
        </is>
      </c>
      <c r="H11" s="25" t="inlineStr">
        <is>
          <t>0-65535</t>
        </is>
      </c>
      <c r="I11" s="25" t="inlineStr">
        <is>
          <t>-</t>
        </is>
      </c>
      <c r="J11" s="25" t="inlineStr">
        <is>
          <t>Timeout→ESTOP</t>
        </is>
      </c>
    </row>
    <row r="12">
      <c r="A12" s="25" t="inlineStr">
        <is>
          <t>SIG-11</t>
        </is>
      </c>
      <c r="B12" s="25" t="inlineStr">
        <is>
          <t>scanner1_status</t>
        </is>
      </c>
      <c r="C12" s="25" t="inlineStr">
        <is>
          <t>État scanner gauche</t>
        </is>
      </c>
      <c r="D12" s="25" t="inlineStr">
        <is>
          <t>microScan3</t>
        </is>
      </c>
      <c r="E12" s="25" t="inlineStr">
        <is>
          <t>PROFIsafe</t>
        </is>
      </c>
      <c r="F12" s="25" t="inlineStr">
        <is>
          <t>50Hz</t>
        </is>
      </c>
      <c r="G12" s="25" t="inlineStr">
        <is>
          <t>BITFIELD</t>
        </is>
      </c>
      <c r="H12" s="25" t="inlineStr">
        <is>
          <t>CLEAR/WARN/PROTECT</t>
        </is>
      </c>
      <c r="I12" s="25" t="inlineStr">
        <is>
          <t>-</t>
        </is>
      </c>
      <c r="J12" s="25" t="inlineStr">
        <is>
          <t>PROTECT</t>
        </is>
      </c>
    </row>
    <row r="13">
      <c r="A13" s="25" t="inlineStr">
        <is>
          <t>SIG-12</t>
        </is>
      </c>
      <c r="B13" s="25" t="inlineStr">
        <is>
          <t>scanner2_status</t>
        </is>
      </c>
      <c r="C13" s="25" t="inlineStr">
        <is>
          <t>État scanner droite</t>
        </is>
      </c>
      <c r="D13" s="25" t="inlineStr">
        <is>
          <t>microScan3</t>
        </is>
      </c>
      <c r="E13" s="25" t="inlineStr">
        <is>
          <t>PROFIsafe</t>
        </is>
      </c>
      <c r="F13" s="25" t="inlineStr">
        <is>
          <t>50Hz</t>
        </is>
      </c>
      <c r="G13" s="25" t="inlineStr">
        <is>
          <t>BITFIELD</t>
        </is>
      </c>
      <c r="H13" s="25" t="inlineStr">
        <is>
          <t>CLEAR/WARN/PROTECT</t>
        </is>
      </c>
      <c r="I13" s="25" t="inlineStr">
        <is>
          <t>-</t>
        </is>
      </c>
      <c r="J13" s="25" t="inlineStr">
        <is>
          <t>PROTECT</t>
        </is>
      </c>
    </row>
    <row r="14">
      <c r="A14" s="25" t="inlineStr">
        <is>
          <t>SIG-13</t>
        </is>
      </c>
      <c r="B14" s="25" t="inlineStr">
        <is>
          <t>scanner_min_dist</t>
        </is>
      </c>
      <c r="C14" s="25" t="inlineStr">
        <is>
          <t>Distance min détectée</t>
        </is>
      </c>
      <c r="D14" s="25" t="inlineStr">
        <is>
          <t>microScan3</t>
        </is>
      </c>
      <c r="E14" s="25" t="inlineStr">
        <is>
          <t>PROFIsafe</t>
        </is>
      </c>
      <c r="F14" s="25" t="inlineStr">
        <is>
          <t>50Hz</t>
        </is>
      </c>
      <c r="G14" s="25" t="inlineStr">
        <is>
          <t>UINT16</t>
        </is>
      </c>
      <c r="H14" s="25" t="inlineStr">
        <is>
          <t>0-8000</t>
        </is>
      </c>
      <c r="I14" s="25" t="inlineStr">
        <is>
          <t>mm</t>
        </is>
      </c>
      <c r="J14" s="25" t="inlineStr">
        <is>
          <t>0</t>
        </is>
      </c>
    </row>
    <row r="15">
      <c r="A15" s="25" t="inlineStr">
        <is>
          <t>SIG-14</t>
        </is>
      </c>
      <c r="B15" s="25" t="inlineStr">
        <is>
          <t>lightcurtain_status</t>
        </is>
      </c>
      <c r="C15" s="25" t="inlineStr">
        <is>
          <t>Barrière immatérielle</t>
        </is>
      </c>
      <c r="D15" s="25" t="inlineStr">
        <is>
          <t>Barrière</t>
        </is>
      </c>
      <c r="E15" s="25" t="inlineStr">
        <is>
          <t>PROFIsafe</t>
        </is>
      </c>
      <c r="F15" s="25" t="inlineStr">
        <is>
          <t>100Hz</t>
        </is>
      </c>
      <c r="G15" s="25" t="inlineStr">
        <is>
          <t>BOOL</t>
        </is>
      </c>
      <c r="H15" s="25" t="inlineStr">
        <is>
          <t>0=interrompu</t>
        </is>
      </c>
      <c r="I15" s="25" t="inlineStr">
        <is>
          <t>-</t>
        </is>
      </c>
      <c r="J15" s="25" t="inlineStr">
        <is>
          <t>0</t>
        </is>
      </c>
    </row>
    <row r="16">
      <c r="A16" s="25" t="inlineStr">
        <is>
          <t>SIG-15</t>
        </is>
      </c>
      <c r="B16" s="25" t="inlineStr">
        <is>
          <t>estop_status</t>
        </is>
      </c>
      <c r="C16" s="25" t="inlineStr">
        <is>
          <t>Arrêts d'urgence</t>
        </is>
      </c>
      <c r="D16" s="25" t="inlineStr">
        <is>
          <t>S7-1500F</t>
        </is>
      </c>
      <c r="E16" s="25" t="inlineStr">
        <is>
          <t>PROFIsafe</t>
        </is>
      </c>
      <c r="F16" s="25" t="inlineStr">
        <is>
          <t>100Hz</t>
        </is>
      </c>
      <c r="G16" s="25" t="inlineStr">
        <is>
          <t>BITFIELD</t>
        </is>
      </c>
      <c r="H16" s="25" t="inlineStr">
        <is>
          <t>Par bouton</t>
        </is>
      </c>
      <c r="I16" s="25" t="inlineStr">
        <is>
          <t>-</t>
        </is>
      </c>
      <c r="J16" s="25" t="inlineStr">
        <is>
          <t>ANY=ESTOP</t>
        </is>
      </c>
    </row>
    <row r="17">
      <c r="A17" s="25" t="inlineStr">
        <is>
          <t>SIG-16</t>
        </is>
      </c>
      <c r="B17" s="25" t="inlineStr">
        <is>
          <t>door_interlock</t>
        </is>
      </c>
      <c r="C17" s="25" t="inlineStr">
        <is>
          <t>Interlock porte accès</t>
        </is>
      </c>
      <c r="D17" s="25" t="inlineStr">
        <is>
          <t>S7-1500F</t>
        </is>
      </c>
      <c r="E17" s="25" t="inlineStr">
        <is>
          <t>PROFIsafe</t>
        </is>
      </c>
      <c r="F17" s="25" t="inlineStr">
        <is>
          <t>50Hz</t>
        </is>
      </c>
      <c r="G17" s="25" t="inlineStr">
        <is>
          <t>ENUM</t>
        </is>
      </c>
      <c r="H17" s="25" t="inlineStr">
        <is>
          <t>CLOSED/OPEN</t>
        </is>
      </c>
      <c r="I17" s="25" t="inlineStr">
        <is>
          <t>-</t>
        </is>
      </c>
      <c r="J17" s="25" t="inlineStr">
        <is>
          <t>OPEN</t>
        </is>
      </c>
    </row>
    <row r="18">
      <c r="A18" s="25" t="inlineStr">
        <is>
          <t>SIG-20</t>
        </is>
      </c>
      <c r="B18" s="25" t="inlineStr">
        <is>
          <t>arc_on</t>
        </is>
      </c>
      <c r="C18" s="25" t="inlineStr">
        <is>
          <t>Arc soudage actif</t>
        </is>
      </c>
      <c r="D18" s="25" t="inlineStr">
        <is>
          <t>Fronius/Lincoln</t>
        </is>
      </c>
      <c r="E18" s="25" t="inlineStr">
        <is>
          <t>EtherNet/IP</t>
        </is>
      </c>
      <c r="F18" s="25" t="inlineStr">
        <is>
          <t>100Hz</t>
        </is>
      </c>
      <c r="G18" s="25" t="inlineStr">
        <is>
          <t>BOOL</t>
        </is>
      </c>
      <c r="H18" s="25" t="inlineStr">
        <is>
          <t>0/1</t>
        </is>
      </c>
      <c r="I18" s="25" t="inlineStr">
        <is>
          <t>-</t>
        </is>
      </c>
      <c r="J18" s="25" t="inlineStr">
        <is>
          <t>0</t>
        </is>
      </c>
    </row>
    <row r="19">
      <c r="A19" s="25" t="inlineStr">
        <is>
          <t>SIG-21</t>
        </is>
      </c>
      <c r="B19" s="25" t="inlineStr">
        <is>
          <t>weld_current</t>
        </is>
      </c>
      <c r="C19" s="25" t="inlineStr">
        <is>
          <t>Courant soudage</t>
        </is>
      </c>
      <c r="D19" s="25" t="inlineStr">
        <is>
          <t>Fronius/Lincoln</t>
        </is>
      </c>
      <c r="E19" s="25" t="inlineStr">
        <is>
          <t>EtherNet/IP</t>
        </is>
      </c>
      <c r="F19" s="25" t="inlineStr">
        <is>
          <t>10Hz</t>
        </is>
      </c>
      <c r="G19" s="25" t="inlineStr">
        <is>
          <t>REAL</t>
        </is>
      </c>
      <c r="H19" s="25" t="inlineStr">
        <is>
          <t>0-500</t>
        </is>
      </c>
      <c r="I19" s="25" t="inlineStr">
        <is>
          <t>A</t>
        </is>
      </c>
      <c r="J19" s="25" t="inlineStr">
        <is>
          <t>0</t>
        </is>
      </c>
    </row>
    <row r="20">
      <c r="A20" s="25" t="inlineStr">
        <is>
          <t>SIG-22</t>
        </is>
      </c>
      <c r="B20" s="25" t="inlineStr">
        <is>
          <t>weld_voltage</t>
        </is>
      </c>
      <c r="C20" s="25" t="inlineStr">
        <is>
          <t>Tension soudage</t>
        </is>
      </c>
      <c r="D20" s="25" t="inlineStr">
        <is>
          <t>Fronius/Lincoln</t>
        </is>
      </c>
      <c r="E20" s="25" t="inlineStr">
        <is>
          <t>EtherNet/IP</t>
        </is>
      </c>
      <c r="F20" s="25" t="inlineStr">
        <is>
          <t>10Hz</t>
        </is>
      </c>
      <c r="G20" s="25" t="inlineStr">
        <is>
          <t>REAL</t>
        </is>
      </c>
      <c r="H20" s="25" t="inlineStr">
        <is>
          <t>0-50</t>
        </is>
      </c>
      <c r="I20" s="25" t="inlineStr">
        <is>
          <t>V</t>
        </is>
      </c>
      <c r="J20" s="25" t="inlineStr">
        <is>
          <t>0</t>
        </is>
      </c>
    </row>
    <row r="21">
      <c r="A21" s="25" t="inlineStr">
        <is>
          <t>SIG-23</t>
        </is>
      </c>
      <c r="B21" s="25" t="inlineStr">
        <is>
          <t>wire_feed_speed</t>
        </is>
      </c>
      <c r="C21" s="25" t="inlineStr">
        <is>
          <t>Vitesse fil</t>
        </is>
      </c>
      <c r="D21" s="25" t="inlineStr">
        <is>
          <t>Fronius/Lincoln</t>
        </is>
      </c>
      <c r="E21" s="25" t="inlineStr">
        <is>
          <t>EtherNet/IP</t>
        </is>
      </c>
      <c r="F21" s="25" t="inlineStr">
        <is>
          <t>10Hz</t>
        </is>
      </c>
      <c r="G21" s="25" t="inlineStr">
        <is>
          <t>REAL</t>
        </is>
      </c>
      <c r="H21" s="25" t="inlineStr">
        <is>
          <t>0-25</t>
        </is>
      </c>
      <c r="I21" s="25" t="inlineStr">
        <is>
          <t>m/min</t>
        </is>
      </c>
      <c r="J21" s="25" t="inlineStr">
        <is>
          <t>0</t>
        </is>
      </c>
    </row>
    <row r="22">
      <c r="A22" s="25" t="inlineStr">
        <is>
          <t>SIG-30</t>
        </is>
      </c>
      <c r="B22" s="25" t="inlineStr">
        <is>
          <t>fumes_concentration</t>
        </is>
      </c>
      <c r="C22" s="25" t="inlineStr">
        <is>
          <t>Concentration fumées</t>
        </is>
      </c>
      <c r="D22" s="25" t="inlineStr">
        <is>
          <t>Capteur fumées</t>
        </is>
      </c>
      <c r="E22" s="25" t="inlineStr">
        <is>
          <t>Modbus TCP</t>
        </is>
      </c>
      <c r="F22" s="25" t="inlineStr">
        <is>
          <t>1Hz</t>
        </is>
      </c>
      <c r="G22" s="25" t="inlineStr">
        <is>
          <t>REAL</t>
        </is>
      </c>
      <c r="H22" s="25" t="inlineStr">
        <is>
          <t>0-50</t>
        </is>
      </c>
      <c r="I22" s="25" t="inlineStr">
        <is>
          <t>mg/m³</t>
        </is>
      </c>
      <c r="J22" s="25" t="inlineStr">
        <is>
          <t>MAX</t>
        </is>
      </c>
    </row>
    <row r="23">
      <c r="A23" s="25" t="inlineStr">
        <is>
          <t>SIG-31</t>
        </is>
      </c>
      <c r="B23" s="25" t="inlineStr">
        <is>
          <t>fumes_index</t>
        </is>
      </c>
      <c r="C23" s="25" t="inlineStr">
        <is>
          <t>Indice fumées</t>
        </is>
      </c>
      <c r="D23" s="25" t="inlineStr">
        <is>
          <t>Capteur fumées</t>
        </is>
      </c>
      <c r="E23" s="25" t="inlineStr">
        <is>
          <t>Modbus TCP</t>
        </is>
      </c>
      <c r="F23" s="25" t="inlineStr">
        <is>
          <t>1Hz</t>
        </is>
      </c>
      <c r="G23" s="25" t="inlineStr">
        <is>
          <t>UINT8</t>
        </is>
      </c>
      <c r="H23" s="25" t="inlineStr">
        <is>
          <t>0-100</t>
        </is>
      </c>
      <c r="I23" s="25" t="inlineStr">
        <is>
          <t>index</t>
        </is>
      </c>
      <c r="J23" s="25" t="inlineStr">
        <is>
          <t>100</t>
        </is>
      </c>
    </row>
    <row r="24">
      <c r="A24" s="25" t="inlineStr">
        <is>
          <t>SIG-32</t>
        </is>
      </c>
      <c r="B24" s="25" t="inlineStr">
        <is>
          <t>ventilation_status</t>
        </is>
      </c>
      <c r="C24" s="25" t="inlineStr">
        <is>
          <t>État ventilation</t>
        </is>
      </c>
      <c r="D24" s="25" t="inlineStr">
        <is>
          <t>HVAC/PLC</t>
        </is>
      </c>
      <c r="E24" s="25" t="inlineStr">
        <is>
          <t>Modbus/IO</t>
        </is>
      </c>
      <c r="F24" s="25" t="inlineStr">
        <is>
          <t>0.1Hz</t>
        </is>
      </c>
      <c r="G24" s="25" t="inlineStr">
        <is>
          <t>ENUM</t>
        </is>
      </c>
      <c r="H24" s="25" t="inlineStr">
        <is>
          <t>OFF/LOW/HIGH</t>
        </is>
      </c>
      <c r="I24" s="25" t="inlineStr">
        <is>
          <t>-</t>
        </is>
      </c>
      <c r="J24" s="25" t="inlineStr">
        <is>
          <t>HIGH</t>
        </is>
      </c>
    </row>
    <row r="25">
      <c r="A25" s="25" t="inlineStr">
        <is>
          <t>SIG-40</t>
        </is>
      </c>
      <c r="B25" s="25" t="inlineStr">
        <is>
          <t>vision_presence</t>
        </is>
      </c>
      <c r="C25" s="25" t="inlineStr">
        <is>
          <t>Présence détectée</t>
        </is>
      </c>
      <c r="D25" s="25" t="inlineStr">
        <is>
          <t>Caméra IA</t>
        </is>
      </c>
      <c r="E25" s="25" t="inlineStr">
        <is>
          <t>GigE/MQTT</t>
        </is>
      </c>
      <c r="F25" s="25" t="inlineStr">
        <is>
          <t>30Hz</t>
        </is>
      </c>
      <c r="G25" s="25" t="inlineStr">
        <is>
          <t>BOOL</t>
        </is>
      </c>
      <c r="H25" s="25" t="inlineStr">
        <is>
          <t>0/1</t>
        </is>
      </c>
      <c r="I25" s="25" t="inlineStr">
        <is>
          <t>-</t>
        </is>
      </c>
      <c r="J25" s="25" t="inlineStr">
        <is>
          <t>1 (prudent)</t>
        </is>
      </c>
    </row>
    <row r="26">
      <c r="A26" s="25" t="inlineStr">
        <is>
          <t>SIG-41</t>
        </is>
      </c>
      <c r="B26" s="25" t="inlineStr">
        <is>
          <t>vision_person_count</t>
        </is>
      </c>
      <c r="C26" s="25" t="inlineStr">
        <is>
          <t>Nombre personnes</t>
        </is>
      </c>
      <c r="D26" s="25" t="inlineStr">
        <is>
          <t>Caméra IA</t>
        </is>
      </c>
      <c r="E26" s="25" t="inlineStr">
        <is>
          <t>GigE/MQTT</t>
        </is>
      </c>
      <c r="F26" s="25" t="inlineStr">
        <is>
          <t>30Hz</t>
        </is>
      </c>
      <c r="G26" s="25" t="inlineStr">
        <is>
          <t>UINT8</t>
        </is>
      </c>
      <c r="H26" s="25" t="inlineStr">
        <is>
          <t>0-10</t>
        </is>
      </c>
      <c r="I26" s="25" t="inlineStr">
        <is>
          <t>-</t>
        </is>
      </c>
      <c r="J26" s="25" t="inlineStr">
        <is>
          <t>MAX détecté</t>
        </is>
      </c>
    </row>
    <row r="27">
      <c r="A27" s="25" t="inlineStr">
        <is>
          <t>SIG-42</t>
        </is>
      </c>
      <c r="B27" s="25" t="inlineStr">
        <is>
          <t>vision_min_distance</t>
        </is>
      </c>
      <c r="C27" s="25" t="inlineStr">
        <is>
          <t>Distance min personne</t>
        </is>
      </c>
      <c r="D27" s="25" t="inlineStr">
        <is>
          <t>Caméra IA</t>
        </is>
      </c>
      <c r="E27" s="25" t="inlineStr">
        <is>
          <t>GigE/MQTT</t>
        </is>
      </c>
      <c r="F27" s="25" t="inlineStr">
        <is>
          <t>30Hz</t>
        </is>
      </c>
      <c r="G27" s="25" t="inlineStr">
        <is>
          <t>UINT16</t>
        </is>
      </c>
      <c r="H27" s="25" t="inlineStr">
        <is>
          <t>0-10000</t>
        </is>
      </c>
      <c r="I27" s="25" t="inlineStr">
        <is>
          <t>mm</t>
        </is>
      </c>
      <c r="J27" s="25" t="inlineStr">
        <is>
          <t>0</t>
        </is>
      </c>
    </row>
    <row r="28">
      <c r="A28" s="25" t="inlineStr">
        <is>
          <t>SIG-43</t>
        </is>
      </c>
      <c r="B28" s="25" t="inlineStr">
        <is>
          <t>vision_ppe_status</t>
        </is>
      </c>
      <c r="C28" s="25" t="inlineStr">
        <is>
          <t>EPI détectés</t>
        </is>
      </c>
      <c r="D28" s="25" t="inlineStr">
        <is>
          <t>Caméra IA</t>
        </is>
      </c>
      <c r="E28" s="25" t="inlineStr">
        <is>
          <t>GigE/MQTT</t>
        </is>
      </c>
      <c r="F28" s="25" t="inlineStr">
        <is>
          <t>10Hz</t>
        </is>
      </c>
      <c r="G28" s="25" t="inlineStr">
        <is>
          <t>BITFIELD</t>
        </is>
      </c>
      <c r="H28" s="25" t="inlineStr">
        <is>
          <t>Lunettes/Gants/Casque</t>
        </is>
      </c>
      <c r="I28" s="25" t="inlineStr">
        <is>
          <t>-</t>
        </is>
      </c>
      <c r="J28" s="25" t="inlineStr">
        <is>
          <t>0 (manquant)</t>
        </is>
      </c>
    </row>
    <row r="29">
      <c r="A29" s="25" t="inlineStr">
        <is>
          <t>SIG-44</t>
        </is>
      </c>
      <c r="B29" s="25" t="inlineStr">
        <is>
          <t>vision_confidence</t>
        </is>
      </c>
      <c r="C29" s="25" t="inlineStr">
        <is>
          <t>Confiance détection</t>
        </is>
      </c>
      <c r="D29" s="25" t="inlineStr">
        <is>
          <t>Caméra IA</t>
        </is>
      </c>
      <c r="E29" s="25" t="inlineStr">
        <is>
          <t>GigE/MQTT</t>
        </is>
      </c>
      <c r="F29" s="25" t="inlineStr">
        <is>
          <t>30Hz</t>
        </is>
      </c>
      <c r="G29" s="25" t="inlineStr">
        <is>
          <t>REAL</t>
        </is>
      </c>
      <c r="H29" s="25" t="inlineStr">
        <is>
          <t>0-1.0</t>
        </is>
      </c>
      <c r="I29" s="25" t="inlineStr">
        <is>
          <t>-</t>
        </is>
      </c>
      <c r="J29" s="25" t="inlineStr">
        <is>
          <t>0</t>
        </is>
      </c>
    </row>
    <row r="30">
      <c r="A30" s="25" t="inlineStr">
        <is>
          <t>SIG-50</t>
        </is>
      </c>
      <c r="B30" s="25" t="inlineStr">
        <is>
          <t>robosafe_state</t>
        </is>
      </c>
      <c r="C30" s="25" t="inlineStr">
        <is>
          <t>État machine RoboSafe</t>
        </is>
      </c>
      <c r="D30" s="25" t="inlineStr">
        <is>
          <t>RoboSafe</t>
        </is>
      </c>
      <c r="E30" s="25" t="inlineStr">
        <is>
          <t>Interne</t>
        </is>
      </c>
      <c r="F30" s="25" t="inlineStr">
        <is>
          <t>100Hz</t>
        </is>
      </c>
      <c r="G30" s="25" t="inlineStr">
        <is>
          <t>ENUM</t>
        </is>
      </c>
      <c r="H30" s="25" t="inlineStr">
        <is>
          <t>NORMAL/WARN/SLOW/STOP/ESTOP</t>
        </is>
      </c>
      <c r="I30" s="25" t="inlineStr">
        <is>
          <t>-</t>
        </is>
      </c>
      <c r="J30" s="25" t="inlineStr">
        <is>
          <t>ESTOP</t>
        </is>
      </c>
    </row>
    <row r="31">
      <c r="A31" s="25" t="inlineStr">
        <is>
          <t>SIG-51</t>
        </is>
      </c>
      <c r="B31" s="25" t="inlineStr">
        <is>
          <t>robosafe_risk_score</t>
        </is>
      </c>
      <c r="C31" s="25" t="inlineStr">
        <is>
          <t>Score risque global</t>
        </is>
      </c>
      <c r="D31" s="25" t="inlineStr">
        <is>
          <t>RoboSafe</t>
        </is>
      </c>
      <c r="E31" s="25" t="inlineStr">
        <is>
          <t>Interne</t>
        </is>
      </c>
      <c r="F31" s="25" t="inlineStr">
        <is>
          <t>10Hz</t>
        </is>
      </c>
      <c r="G31" s="25" t="inlineStr">
        <is>
          <t>REAL</t>
        </is>
      </c>
      <c r="H31" s="25" t="inlineStr">
        <is>
          <t>0-100</t>
        </is>
      </c>
      <c r="I31" s="25" t="inlineStr">
        <is>
          <t>score</t>
        </is>
      </c>
      <c r="J31" s="25" t="inlineStr">
        <is>
          <t>100</t>
        </is>
      </c>
    </row>
    <row r="32">
      <c r="A32" s="25" t="inlineStr">
        <is>
          <t>SIG-52</t>
        </is>
      </c>
      <c r="B32" s="25" t="inlineStr">
        <is>
          <t>robosafe_fumes_vlep</t>
        </is>
      </c>
      <c r="C32" s="25" t="inlineStr">
        <is>
          <t>Ratio fumées/VLEP</t>
        </is>
      </c>
      <c r="D32" s="25" t="inlineStr">
        <is>
          <t>RoboSafe</t>
        </is>
      </c>
      <c r="E32" s="25" t="inlineStr">
        <is>
          <t>Calcul</t>
        </is>
      </c>
      <c r="F32" s="25" t="inlineStr">
        <is>
          <t>1Hz</t>
        </is>
      </c>
      <c r="G32" s="25" t="inlineStr">
        <is>
          <t>REAL</t>
        </is>
      </c>
      <c r="H32" s="25" t="inlineStr">
        <is>
          <t>0-3.0</t>
        </is>
      </c>
      <c r="I32" s="25" t="inlineStr">
        <is>
          <t>%VLEP</t>
        </is>
      </c>
      <c r="J32" s="25" t="inlineStr">
        <is>
          <t>MAX</t>
        </is>
      </c>
    </row>
    <row r="40">
      <c r="A40" s="11" t="inlineStr">
        <is>
          <t>B. KPI PILOTE</t>
        </is>
      </c>
    </row>
    <row r="42">
      <c r="A42" s="12" t="inlineStr">
        <is>
          <t>ID</t>
        </is>
      </c>
      <c r="B42" s="12" t="inlineStr">
        <is>
          <t>Catégorie</t>
        </is>
      </c>
      <c r="C42" s="12" t="inlineStr">
        <is>
          <t>KPI</t>
        </is>
      </c>
      <c r="D42" s="12" t="inlineStr">
        <is>
          <t>Formule</t>
        </is>
      </c>
      <c r="E42" s="12" t="inlineStr">
        <is>
          <t>Unité</t>
        </is>
      </c>
      <c r="F42" s="12" t="inlineStr">
        <is>
          <t>Fréquence</t>
        </is>
      </c>
      <c r="G42" s="12" t="inlineStr">
        <is>
          <t>Source</t>
        </is>
      </c>
      <c r="H42" s="12" t="inlineStr">
        <is>
          <t>Cible</t>
        </is>
      </c>
      <c r="I42" s="12" t="inlineStr">
        <is>
          <t>Baseline</t>
        </is>
      </c>
    </row>
    <row r="43">
      <c r="A43" s="13" t="inlineStr">
        <is>
          <t>KPI-B01</t>
        </is>
      </c>
      <c r="B43" s="15" t="inlineStr">
        <is>
          <t>BASELINE</t>
        </is>
      </c>
      <c r="C43" s="13" t="inlineStr">
        <is>
          <t>Accidents avec arrêt</t>
        </is>
      </c>
      <c r="D43" s="13" t="inlineStr">
        <is>
          <t>Comptage registre</t>
        </is>
      </c>
      <c r="E43" s="13" t="inlineStr">
        <is>
          <t>#/an</t>
        </is>
      </c>
      <c r="F43" s="13" t="inlineStr">
        <is>
          <t>Annuelle</t>
        </is>
      </c>
      <c r="G43" s="13" t="inlineStr">
        <is>
          <t>HSE</t>
        </is>
      </c>
      <c r="H43" s="13" t="inlineStr">
        <is>
          <t>N/A</t>
        </is>
      </c>
      <c r="I43" s="46" t="inlineStr">
        <is>
          <t>À COLLECTER</t>
        </is>
      </c>
    </row>
    <row r="44">
      <c r="A44" s="13" t="inlineStr">
        <is>
          <t>KPI-B02</t>
        </is>
      </c>
      <c r="B44" s="15" t="inlineStr">
        <is>
          <t>BASELINE</t>
        </is>
      </c>
      <c r="C44" s="13" t="inlineStr">
        <is>
          <t>Quasi-incidents intrusion</t>
        </is>
      </c>
      <c r="D44" s="13" t="inlineStr">
        <is>
          <t>Comptage déclarations</t>
        </is>
      </c>
      <c r="E44" s="13" t="inlineStr">
        <is>
          <t>#/an</t>
        </is>
      </c>
      <c r="F44" s="13" t="inlineStr">
        <is>
          <t>Mensuelle</t>
        </is>
      </c>
      <c r="G44" s="13" t="inlineStr">
        <is>
          <t>HSE</t>
        </is>
      </c>
      <c r="H44" s="13" t="inlineStr">
        <is>
          <t>N/A</t>
        </is>
      </c>
      <c r="I44" s="46" t="inlineStr">
        <is>
          <t>À COLLECTER</t>
        </is>
      </c>
    </row>
    <row r="45">
      <c r="A45" s="13" t="inlineStr">
        <is>
          <t>KPI-B03</t>
        </is>
      </c>
      <c r="B45" s="15" t="inlineStr">
        <is>
          <t>BASELINE</t>
        </is>
      </c>
      <c r="C45" s="13" t="inlineStr">
        <is>
          <t>Jours perdus</t>
        </is>
      </c>
      <c r="D45" s="13" t="inlineStr">
        <is>
          <t>Σ jours arrêt</t>
        </is>
      </c>
      <c r="E45" s="13" t="inlineStr">
        <is>
          <t>jours/an</t>
        </is>
      </c>
      <c r="F45" s="13" t="inlineStr">
        <is>
          <t>Annuelle</t>
        </is>
      </c>
      <c r="G45" s="13" t="inlineStr">
        <is>
          <t>RH</t>
        </is>
      </c>
      <c r="H45" s="13" t="inlineStr">
        <is>
          <t>N/A</t>
        </is>
      </c>
      <c r="I45" s="46" t="inlineStr">
        <is>
          <t>À COLLECTER</t>
        </is>
      </c>
    </row>
    <row r="46">
      <c r="A46" s="13" t="inlineStr">
        <is>
          <t>KPI-B04</t>
        </is>
      </c>
      <c r="B46" s="15" t="inlineStr">
        <is>
          <t>BASELINE</t>
        </is>
      </c>
      <c r="C46" s="13" t="inlineStr">
        <is>
          <t>OEE cellule</t>
        </is>
      </c>
      <c r="D46" s="13" t="inlineStr">
        <is>
          <t>Dispo×Perf×Qualité</t>
        </is>
      </c>
      <c r="E46" s="13" t="inlineStr">
        <is>
          <t>%</t>
        </is>
      </c>
      <c r="F46" s="13" t="inlineStr">
        <is>
          <t>Hebdo</t>
        </is>
      </c>
      <c r="G46" s="13" t="inlineStr">
        <is>
          <t>MES</t>
        </is>
      </c>
      <c r="H46" s="13" t="inlineStr">
        <is>
          <t>N/A</t>
        </is>
      </c>
      <c r="I46" s="46" t="inlineStr">
        <is>
          <t>À COLLECTER</t>
        </is>
      </c>
    </row>
    <row r="47">
      <c r="A47" s="13" t="inlineStr">
        <is>
          <t>KPI-B05</t>
        </is>
      </c>
      <c r="B47" s="15" t="inlineStr">
        <is>
          <t>BASELINE</t>
        </is>
      </c>
      <c r="C47" s="13" t="inlineStr">
        <is>
          <t>Temps exposition fumées</t>
        </is>
      </c>
      <c r="D47" s="13" t="inlineStr">
        <is>
          <t>Intégration temps&gt;seuil</t>
        </is>
      </c>
      <c r="E47" s="13" t="inlineStr">
        <is>
          <t>min/shift</t>
        </is>
      </c>
      <c r="F47" s="13" t="inlineStr">
        <is>
          <t>Par shift</t>
        </is>
      </c>
      <c r="G47" s="13" t="inlineStr">
        <is>
          <t>Mesures</t>
        </is>
      </c>
      <c r="H47" s="13" t="inlineStr">
        <is>
          <t>N/A</t>
        </is>
      </c>
      <c r="I47" s="46" t="inlineStr">
        <is>
          <t>À COLLECTER</t>
        </is>
      </c>
    </row>
    <row r="48">
      <c r="A48" s="13" t="inlineStr">
        <is>
          <t>KPI-L01</t>
        </is>
      </c>
      <c r="B48" s="47" t="inlineStr">
        <is>
          <t>LEADING</t>
        </is>
      </c>
      <c r="C48" s="13" t="inlineStr">
        <is>
          <t>Arrêts préventifs RoboSafe</t>
        </is>
      </c>
      <c r="D48" s="13" t="inlineStr">
        <is>
          <t>Comptage logs</t>
        </is>
      </c>
      <c r="E48" s="13" t="inlineStr">
        <is>
          <t>#/jour</t>
        </is>
      </c>
      <c r="F48" s="13" t="inlineStr">
        <is>
          <t>Quotidien</t>
        </is>
      </c>
      <c r="G48" s="13" t="inlineStr">
        <is>
          <t>RoboSafe</t>
        </is>
      </c>
      <c r="H48" s="13" t="inlineStr">
        <is>
          <t>Établir M1</t>
        </is>
      </c>
      <c r="I48" s="13" t="inlineStr">
        <is>
          <t>-</t>
        </is>
      </c>
    </row>
    <row r="49">
      <c r="A49" s="13" t="inlineStr">
        <is>
          <t>KPI-L02</t>
        </is>
      </c>
      <c r="B49" s="47" t="inlineStr">
        <is>
          <t>LEADING</t>
        </is>
      </c>
      <c r="C49" s="13" t="inlineStr">
        <is>
          <t>Arrêts justifiés</t>
        </is>
      </c>
      <c r="D49" s="13" t="inlineStr">
        <is>
          <t>Justifiés/Total×100</t>
        </is>
      </c>
      <c r="E49" s="13" t="inlineStr">
        <is>
          <t>%</t>
        </is>
      </c>
      <c r="F49" s="13" t="inlineStr">
        <is>
          <t>Hebdo</t>
        </is>
      </c>
      <c r="G49" s="13" t="inlineStr">
        <is>
          <t>Revue HSE</t>
        </is>
      </c>
      <c r="H49" s="13" t="inlineStr">
        <is>
          <t>&gt;80%</t>
        </is>
      </c>
      <c r="I49" s="13" t="inlineStr">
        <is>
          <t>-</t>
        </is>
      </c>
    </row>
    <row r="50">
      <c r="A50" s="13" t="inlineStr">
        <is>
          <t>KPI-L03</t>
        </is>
      </c>
      <c r="B50" s="47" t="inlineStr">
        <is>
          <t>LEADING</t>
        </is>
      </c>
      <c r="C50" s="13" t="inlineStr">
        <is>
          <t>Intrusions détectées</t>
        </is>
      </c>
      <c r="D50" s="13" t="inlineStr">
        <is>
          <t>Comptage PROTECT</t>
        </is>
      </c>
      <c r="E50" s="13" t="inlineStr">
        <is>
          <t>#/jour</t>
        </is>
      </c>
      <c r="F50" s="13" t="inlineStr">
        <is>
          <t>Quotidien</t>
        </is>
      </c>
      <c r="G50" s="13" t="inlineStr">
        <is>
          <t>RoboSafe</t>
        </is>
      </c>
      <c r="H50" s="13" t="inlineStr">
        <is>
          <t>Tendance ↓</t>
        </is>
      </c>
      <c r="I50" s="13" t="inlineStr">
        <is>
          <t>-</t>
        </is>
      </c>
    </row>
    <row r="51">
      <c r="A51" s="13" t="inlineStr">
        <is>
          <t>KPI-L04</t>
        </is>
      </c>
      <c r="B51" s="47" t="inlineStr">
        <is>
          <t>LEADING</t>
        </is>
      </c>
      <c r="C51" s="13" t="inlineStr">
        <is>
          <t>Alertes fumées &gt;80%</t>
        </is>
      </c>
      <c r="D51" s="13" t="inlineStr">
        <is>
          <t>Comptage alertes</t>
        </is>
      </c>
      <c r="E51" s="13" t="inlineStr">
        <is>
          <t>#/shift</t>
        </is>
      </c>
      <c r="F51" s="13" t="inlineStr">
        <is>
          <t>Par shift</t>
        </is>
      </c>
      <c r="G51" s="13" t="inlineStr">
        <is>
          <t>RoboSafe</t>
        </is>
      </c>
      <c r="H51" s="13" t="inlineStr">
        <is>
          <t>Tendance ↓</t>
        </is>
      </c>
      <c r="I51" s="13" t="inlineStr">
        <is>
          <t>-</t>
        </is>
      </c>
    </row>
    <row r="52">
      <c r="A52" s="13" t="inlineStr">
        <is>
          <t>KPI-L05</t>
        </is>
      </c>
      <c r="B52" s="47" t="inlineStr">
        <is>
          <t>LEADING</t>
        </is>
      </c>
      <c r="C52" s="13" t="inlineStr">
        <is>
          <t>Temps fumées &gt;50%</t>
        </is>
      </c>
      <c r="D52" s="13" t="inlineStr">
        <is>
          <t>Intégration</t>
        </is>
      </c>
      <c r="E52" s="13" t="inlineStr">
        <is>
          <t>min/shift</t>
        </is>
      </c>
      <c r="F52" s="13" t="inlineStr">
        <is>
          <t>Par shift</t>
        </is>
      </c>
      <c r="G52" s="13" t="inlineStr">
        <is>
          <t>RoboSafe</t>
        </is>
      </c>
      <c r="H52" s="13" t="inlineStr">
        <is>
          <t>↓30% vs baseline</t>
        </is>
      </c>
      <c r="I52" s="13" t="inlineStr">
        <is>
          <t>-</t>
        </is>
      </c>
    </row>
    <row r="53">
      <c r="A53" s="13" t="inlineStr">
        <is>
          <t>KPI-L06</t>
        </is>
      </c>
      <c r="B53" s="47" t="inlineStr">
        <is>
          <t>LEADING</t>
        </is>
      </c>
      <c r="C53" s="13" t="inlineStr">
        <is>
          <t>Overrides sécurité</t>
        </is>
      </c>
      <c r="D53" s="13" t="inlineStr">
        <is>
          <t>Comptage logs</t>
        </is>
      </c>
      <c r="E53" s="13" t="inlineStr">
        <is>
          <t>#/semaine</t>
        </is>
      </c>
      <c r="F53" s="13" t="inlineStr">
        <is>
          <t>Hebdo</t>
        </is>
      </c>
      <c r="G53" s="13" t="inlineStr">
        <is>
          <t>RoboSafe</t>
        </is>
      </c>
      <c r="H53" s="13" t="inlineStr">
        <is>
          <t>&lt;3/semaine</t>
        </is>
      </c>
      <c r="I53" s="13" t="inlineStr">
        <is>
          <t>-</t>
        </is>
      </c>
    </row>
    <row r="54">
      <c r="A54" s="13" t="inlineStr">
        <is>
          <t>KPI-L07</t>
        </is>
      </c>
      <c r="B54" s="47" t="inlineStr">
        <is>
          <t>LEADING</t>
        </is>
      </c>
      <c r="C54" s="13" t="inlineStr">
        <is>
          <t>Distance min moyenne</t>
        </is>
      </c>
      <c r="D54" s="13" t="inlineStr">
        <is>
          <t>Moyenne détections</t>
        </is>
      </c>
      <c r="E54" s="13" t="inlineStr">
        <is>
          <t>mm</t>
        </is>
      </c>
      <c r="F54" s="13" t="inlineStr">
        <is>
          <t>Quotidien</t>
        </is>
      </c>
      <c r="G54" s="13" t="inlineStr">
        <is>
          <t>RoboSafe</t>
        </is>
      </c>
      <c r="H54" s="13" t="inlineStr">
        <is>
          <t>&gt;1500mm</t>
        </is>
      </c>
      <c r="I54" s="13" t="inlineStr">
        <is>
          <t>-</t>
        </is>
      </c>
    </row>
    <row r="55">
      <c r="A55" s="13" t="inlineStr">
        <is>
          <t>KPI-L08</t>
        </is>
      </c>
      <c r="B55" s="47" t="inlineStr">
        <is>
          <t>LEADING</t>
        </is>
      </c>
      <c r="C55" s="13" t="inlineStr">
        <is>
          <t>Alertes arc+présence</t>
        </is>
      </c>
      <c r="D55" s="13" t="inlineStr">
        <is>
          <t>Comptage</t>
        </is>
      </c>
      <c r="E55" s="13" t="inlineStr">
        <is>
          <t>#/shift</t>
        </is>
      </c>
      <c r="F55" s="13" t="inlineStr">
        <is>
          <t>Par shift</t>
        </is>
      </c>
      <c r="G55" s="13" t="inlineStr">
        <is>
          <t>RoboSafe</t>
        </is>
      </c>
      <c r="H55" s="13" t="inlineStr">
        <is>
          <t>Tendance ↓</t>
        </is>
      </c>
      <c r="I55" s="13" t="inlineStr">
        <is>
          <t>-</t>
        </is>
      </c>
    </row>
    <row r="56">
      <c r="A56" s="13" t="inlineStr">
        <is>
          <t>KPI-G01</t>
        </is>
      </c>
      <c r="B56" s="48" t="inlineStr">
        <is>
          <t>LAGGING</t>
        </is>
      </c>
      <c r="C56" s="13" t="inlineStr">
        <is>
          <t>Accidents période</t>
        </is>
      </c>
      <c r="D56" s="13" t="inlineStr">
        <is>
          <t>Comptage</t>
        </is>
      </c>
      <c r="E56" s="13" t="inlineStr">
        <is>
          <t>#/trimestre</t>
        </is>
      </c>
      <c r="F56" s="13" t="inlineStr">
        <is>
          <t>Trim.</t>
        </is>
      </c>
      <c r="G56" s="13" t="inlineStr">
        <is>
          <t>HSE</t>
        </is>
      </c>
      <c r="H56" s="13" t="inlineStr">
        <is>
          <t>↓25%</t>
        </is>
      </c>
      <c r="I56" s="13" t="inlineStr">
        <is>
          <t>-</t>
        </is>
      </c>
    </row>
    <row r="57">
      <c r="A57" s="13" t="inlineStr">
        <is>
          <t>KPI-G02</t>
        </is>
      </c>
      <c r="B57" s="48" t="inlineStr">
        <is>
          <t>LAGGING</t>
        </is>
      </c>
      <c r="C57" s="13" t="inlineStr">
        <is>
          <t>Jours perdus période</t>
        </is>
      </c>
      <c r="D57" s="13" t="inlineStr">
        <is>
          <t>Σ jours</t>
        </is>
      </c>
      <c r="E57" s="13" t="inlineStr">
        <is>
          <t>jours/trim.</t>
        </is>
      </c>
      <c r="F57" s="13" t="inlineStr">
        <is>
          <t>Trim.</t>
        </is>
      </c>
      <c r="G57" s="13" t="inlineStr">
        <is>
          <t>RH</t>
        </is>
      </c>
      <c r="H57" s="13" t="inlineStr">
        <is>
          <t>↓30%</t>
        </is>
      </c>
      <c r="I57" s="13" t="inlineStr">
        <is>
          <t>-</t>
        </is>
      </c>
    </row>
    <row r="58">
      <c r="A58" s="13" t="inlineStr">
        <is>
          <t>KPI-G03</t>
        </is>
      </c>
      <c r="B58" s="48" t="inlineStr">
        <is>
          <t>LAGGING</t>
        </is>
      </c>
      <c r="C58" s="13" t="inlineStr">
        <is>
          <t>Quasi-incidents intrusion</t>
        </is>
      </c>
      <c r="D58" s="13" t="inlineStr">
        <is>
          <t>Comptage validés</t>
        </is>
      </c>
      <c r="E58" s="13" t="inlineStr">
        <is>
          <t>#/mois</t>
        </is>
      </c>
      <c r="F58" s="13" t="inlineStr">
        <is>
          <t>Mensuel</t>
        </is>
      </c>
      <c r="G58" s="13" t="inlineStr">
        <is>
          <t>HSE</t>
        </is>
      </c>
      <c r="H58" s="13" t="inlineStr">
        <is>
          <t>↓50%</t>
        </is>
      </c>
      <c r="I58" s="13" t="inlineStr">
        <is>
          <t>-</t>
        </is>
      </c>
    </row>
    <row r="59">
      <c r="A59" s="13" t="inlineStr">
        <is>
          <t>KPI-G04</t>
        </is>
      </c>
      <c r="B59" s="48" t="inlineStr">
        <is>
          <t>LAGGING</t>
        </is>
      </c>
      <c r="C59" s="13" t="inlineStr">
        <is>
          <t>OEE période</t>
        </is>
      </c>
      <c r="D59" s="13" t="inlineStr">
        <is>
          <t>Moyenne</t>
        </is>
      </c>
      <c r="E59" s="13" t="inlineStr">
        <is>
          <t>%</t>
        </is>
      </c>
      <c r="F59" s="13" t="inlineStr">
        <is>
          <t>Mensuel</t>
        </is>
      </c>
      <c r="G59" s="13" t="inlineStr">
        <is>
          <t>MES</t>
        </is>
      </c>
      <c r="H59" s="13" t="inlineStr">
        <is>
          <t>+2pts</t>
        </is>
      </c>
      <c r="I59" s="13" t="inlineStr">
        <is>
          <t>-</t>
        </is>
      </c>
    </row>
    <row r="65">
      <c r="A65" s="11" t="inlineStr">
        <is>
          <t>C. PARAMÈTRES ROI</t>
        </is>
      </c>
    </row>
    <row r="67">
      <c r="A67" s="12" t="inlineStr">
        <is>
          <t>Paramètre</t>
        </is>
      </c>
      <c r="B67" s="12" t="inlineStr">
        <is>
          <t>Valeur</t>
        </is>
      </c>
      <c r="C67" s="12" t="inlineStr">
        <is>
          <t>Unité</t>
        </is>
      </c>
      <c r="D67" s="12" t="inlineStr">
        <is>
          <t>Source</t>
        </is>
      </c>
      <c r="E67" s="12" t="inlineStr">
        <is>
          <t>Statut</t>
        </is>
      </c>
    </row>
    <row r="68">
      <c r="A68" s="13" t="inlineStr">
        <is>
          <t>Coût moyen jour perdu</t>
        </is>
      </c>
      <c r="B68" s="15" t="inlineStr"/>
      <c r="C68" s="13" t="inlineStr">
        <is>
          <t>$/jour</t>
        </is>
      </c>
      <c r="D68" s="13" t="inlineStr">
        <is>
          <t>RH/Finance</t>
        </is>
      </c>
      <c r="E68" s="46" t="inlineStr">
        <is>
          <t>À COLLECTER</t>
        </is>
      </c>
    </row>
    <row r="69">
      <c r="A69" s="13" t="inlineStr">
        <is>
          <t>Coût moyen sinistre</t>
        </is>
      </c>
      <c r="B69" s="15" t="inlineStr"/>
      <c r="C69" s="13" t="inlineStr">
        <is>
          <t>$/sinistre</t>
        </is>
      </c>
      <c r="D69" s="13" t="inlineStr">
        <is>
          <t>Finance/Assureur</t>
        </is>
      </c>
      <c r="E69" s="46" t="inlineStr">
        <is>
          <t>À COLLECTER</t>
        </is>
      </c>
    </row>
    <row r="70">
      <c r="A70" s="13" t="inlineStr">
        <is>
          <t>Heures production/an cellule</t>
        </is>
      </c>
      <c r="B70" s="15" t="inlineStr"/>
      <c r="C70" s="13" t="inlineStr">
        <is>
          <t>h/an</t>
        </is>
      </c>
      <c r="D70" s="13" t="inlineStr">
        <is>
          <t>Production</t>
        </is>
      </c>
      <c r="E70" s="46" t="inlineStr">
        <is>
          <t>À COLLECTER</t>
        </is>
      </c>
    </row>
    <row r="71">
      <c r="A71" s="13" t="inlineStr">
        <is>
          <t>Valeur production horaire</t>
        </is>
      </c>
      <c r="B71" s="15" t="inlineStr"/>
      <c r="C71" s="13" t="inlineStr">
        <is>
          <t>$/h</t>
        </is>
      </c>
      <c r="D71" s="13" t="inlineStr">
        <is>
          <t>Finance</t>
        </is>
      </c>
      <c r="E71" s="46" t="inlineStr">
        <is>
          <t>À COLLECTER</t>
        </is>
      </c>
    </row>
    <row r="72">
      <c r="A72" s="13" t="inlineStr">
        <is>
          <t>Prime SST annuelle (part cellule)</t>
        </is>
      </c>
      <c r="B72" s="15" t="inlineStr"/>
      <c r="C72" s="13" t="inlineStr">
        <is>
          <t>$/an</t>
        </is>
      </c>
      <c r="D72" s="13" t="inlineStr">
        <is>
          <t>Finance</t>
        </is>
      </c>
      <c r="E72" s="46" t="inlineStr">
        <is>
          <t>À COLLECTER</t>
        </is>
      </c>
    </row>
    <row r="73">
      <c r="A73" s="13" t="inlineStr">
        <is>
          <t>Taux réduction accidents (hyp.)</t>
        </is>
      </c>
      <c r="B73" s="13" t="inlineStr">
        <is>
          <t>25%</t>
        </is>
      </c>
      <c r="C73" s="13" t="inlineStr">
        <is>
          <t>%</t>
        </is>
      </c>
      <c r="D73" s="13" t="inlineStr">
        <is>
          <t>Hypothèse prudente</t>
        </is>
      </c>
      <c r="E73" s="13" t="inlineStr">
        <is>
          <t>ESTIMÉ</t>
        </is>
      </c>
    </row>
    <row r="74">
      <c r="A74" s="13" t="inlineStr">
        <is>
          <t>Amélioration OEE (hyp.)</t>
        </is>
      </c>
      <c r="B74" s="13" t="inlineStr">
        <is>
          <t>+2%</t>
        </is>
      </c>
      <c r="C74" s="13" t="inlineStr">
        <is>
          <t>pts</t>
        </is>
      </c>
      <c r="D74" s="13" t="inlineStr">
        <is>
          <t>Hypothèse prudente</t>
        </is>
      </c>
      <c r="E74" s="13" t="inlineStr">
        <is>
          <t>ESTIMÉ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0" customWidth="1" min="4" max="4"/>
    <col width="35" customWidth="1" min="5" max="5"/>
    <col width="12" customWidth="1" min="6" max="6"/>
    <col width="25" customWidth="1" min="7" max="7"/>
  </cols>
  <sheetData>
    <row r="1">
      <c r="A1" s="9" t="inlineStr">
        <is>
          <t>PLAN DE TESTS FAT/SAT - CELLULE SOUDAGE MIG</t>
        </is>
      </c>
    </row>
    <row r="3">
      <c r="A3" s="49" t="inlineStr">
        <is>
          <t>A. TESTS FAT (Factory Acceptance Test) - Chez intégrateur</t>
        </is>
      </c>
    </row>
    <row r="5">
      <c r="A5" s="12" t="inlineStr">
        <is>
          <t>ID</t>
        </is>
      </c>
      <c r="B5" s="12" t="inlineStr">
        <is>
          <t>Catégorie</t>
        </is>
      </c>
      <c r="C5" s="12" t="inlineStr">
        <is>
          <t>Test</t>
        </is>
      </c>
      <c r="D5" s="12" t="inlineStr">
        <is>
          <t>Procédure</t>
        </is>
      </c>
      <c r="E5" s="12" t="inlineStr">
        <is>
          <t>Critère acceptation</t>
        </is>
      </c>
      <c r="F5" s="12" t="inlineStr">
        <is>
          <t>Résultat</t>
        </is>
      </c>
      <c r="G5" s="12" t="inlineStr">
        <is>
          <t>Commentaire</t>
        </is>
      </c>
    </row>
    <row r="6">
      <c r="A6" s="13" t="inlineStr">
        <is>
          <t>FAT-01</t>
        </is>
      </c>
      <c r="B6" s="13" t="inlineStr">
        <is>
          <t>Comm Robot</t>
        </is>
      </c>
      <c r="C6" s="13" t="inlineStr">
        <is>
          <t>Connexion Fanuc</t>
        </is>
      </c>
      <c r="D6" s="13" t="inlineStr">
        <is>
          <t>Vérifier heartbeat EtherNet/IP</t>
        </is>
      </c>
      <c r="E6" s="13" t="inlineStr">
        <is>
          <t>Heartbeat stable &gt;1h, latence &lt;10ms</t>
        </is>
      </c>
      <c r="F6" s="16" t="inlineStr"/>
      <c r="G6" s="13" t="inlineStr"/>
    </row>
    <row r="7">
      <c r="A7" s="13" t="inlineStr">
        <is>
          <t>FAT-02</t>
        </is>
      </c>
      <c r="B7" s="13" t="inlineStr">
        <is>
          <t>Comm PLC</t>
        </is>
      </c>
      <c r="C7" s="13" t="inlineStr">
        <is>
          <t>Connexion S7-1500F</t>
        </is>
      </c>
      <c r="D7" s="13" t="inlineStr">
        <is>
          <t>Vérifier échange PROFIsafe</t>
        </is>
      </c>
      <c r="E7" s="13" t="inlineStr">
        <is>
          <t>Heartbeat OK, données cohérentes</t>
        </is>
      </c>
      <c r="F7" s="16" t="inlineStr"/>
      <c r="G7" s="13" t="inlineStr"/>
    </row>
    <row r="8">
      <c r="A8" s="13" t="inlineStr">
        <is>
          <t>FAT-03</t>
        </is>
      </c>
      <c r="B8" s="13" t="inlineStr">
        <is>
          <t>Comm Scanners</t>
        </is>
      </c>
      <c r="C8" s="13" t="inlineStr">
        <is>
          <t>Lecture zones SICK</t>
        </is>
      </c>
      <c r="D8" s="13" t="inlineStr">
        <is>
          <t>Simuler intrusion chaque zone</t>
        </is>
      </c>
      <c r="E8" s="13" t="inlineStr">
        <is>
          <t>Détection WARN/PROTECT correcte</t>
        </is>
      </c>
      <c r="F8" s="16" t="inlineStr"/>
      <c r="G8" s="13" t="inlineStr"/>
    </row>
    <row r="9">
      <c r="A9" s="13" t="inlineStr">
        <is>
          <t>FAT-04</t>
        </is>
      </c>
      <c r="B9" s="13" t="inlineStr">
        <is>
          <t>Vision</t>
        </is>
      </c>
      <c r="C9" s="13" t="inlineStr">
        <is>
          <t>Détection présence</t>
        </is>
      </c>
      <c r="D9" s="13" t="inlineStr">
        <is>
          <t>Personne à 0.5m, 1m, 2m, 3m</t>
        </is>
      </c>
      <c r="E9" s="13" t="inlineStr">
        <is>
          <t>Détection correcte ±100mm, confiance &gt;0.8</t>
        </is>
      </c>
      <c r="F9" s="16" t="inlineStr"/>
      <c r="G9" s="13" t="inlineStr"/>
    </row>
    <row r="10">
      <c r="A10" s="13" t="inlineStr">
        <is>
          <t>FAT-05</t>
        </is>
      </c>
      <c r="B10" s="13" t="inlineStr">
        <is>
          <t>Vision</t>
        </is>
      </c>
      <c r="C10" s="13" t="inlineStr">
        <is>
          <t>Détection EPI</t>
        </is>
      </c>
      <c r="D10" s="13" t="inlineStr">
        <is>
          <t>Test avec/sans lunettes, gants</t>
        </is>
      </c>
      <c r="E10" s="13" t="inlineStr">
        <is>
          <t>Détection correcte &gt;90% cas</t>
        </is>
      </c>
      <c r="F10" s="16" t="inlineStr"/>
      <c r="G10" s="13" t="inlineStr"/>
    </row>
    <row r="11">
      <c r="A11" s="13" t="inlineStr">
        <is>
          <t>FAT-06</t>
        </is>
      </c>
      <c r="B11" s="13" t="inlineStr">
        <is>
          <t>Fumées</t>
        </is>
      </c>
      <c r="C11" s="13" t="inlineStr">
        <is>
          <t>Lecture capteur</t>
        </is>
      </c>
      <c r="D11" s="13" t="inlineStr">
        <is>
          <t>Calibration gaz étalon</t>
        </is>
      </c>
      <c r="E11" s="13" t="inlineStr">
        <is>
          <t>Lecture ±10% valeur référence</t>
        </is>
      </c>
      <c r="F11" s="16" t="inlineStr"/>
      <c r="G11" s="13" t="inlineStr"/>
    </row>
    <row r="12">
      <c r="A12" s="13" t="inlineStr">
        <is>
          <t>FAT-07</t>
        </is>
      </c>
      <c r="B12" s="13" t="inlineStr">
        <is>
          <t>Fumées</t>
        </is>
      </c>
      <c r="C12" s="13" t="inlineStr">
        <is>
          <t>Alertes paliers</t>
        </is>
      </c>
      <c r="D12" s="13" t="inlineStr">
        <is>
          <t>Simulation 50%, 80%, 100%, 120%</t>
        </is>
      </c>
      <c r="E12" s="13" t="inlineStr">
        <is>
          <t>Alertes correctes à chaque seuil</t>
        </is>
      </c>
      <c r="F12" s="16" t="inlineStr"/>
      <c r="G12" s="13" t="inlineStr"/>
    </row>
    <row r="13">
      <c r="A13" s="13" t="inlineStr">
        <is>
          <t>FAT-08</t>
        </is>
      </c>
      <c r="B13" s="13" t="inlineStr">
        <is>
          <t>Règles</t>
        </is>
      </c>
      <c r="C13" s="13" t="inlineStr">
        <is>
          <t>STOP intrusion</t>
        </is>
      </c>
      <c r="D13" s="13" t="inlineStr">
        <is>
          <t>Intrusion zone PROTECT</t>
        </is>
      </c>
      <c r="E13" s="13" t="inlineStr">
        <is>
          <t>STOP &lt;200ms, robot arrêté</t>
        </is>
      </c>
      <c r="F13" s="16" t="inlineStr"/>
      <c r="G13" s="13" t="inlineStr"/>
    </row>
    <row r="14">
      <c r="A14" s="13" t="inlineStr">
        <is>
          <t>FAT-09</t>
        </is>
      </c>
      <c r="B14" s="13" t="inlineStr">
        <is>
          <t>Règles</t>
        </is>
      </c>
      <c r="C14" s="13" t="inlineStr">
        <is>
          <t>SLOW proximité</t>
        </is>
      </c>
      <c r="D14" s="13" t="inlineStr">
        <is>
          <t>Personne à 1.5m</t>
        </is>
      </c>
      <c r="E14" s="13" t="inlineStr">
        <is>
          <t>SLOW 50% activé</t>
        </is>
      </c>
      <c r="F14" s="16" t="inlineStr"/>
      <c r="G14" s="13" t="inlineStr"/>
    </row>
    <row r="15">
      <c r="A15" s="13" t="inlineStr">
        <is>
          <t>FAT-10</t>
        </is>
      </c>
      <c r="B15" s="13" t="inlineStr">
        <is>
          <t>Règles</t>
        </is>
      </c>
      <c r="C15" s="13" t="inlineStr">
        <is>
          <t>E-STOP arc+TEACH</t>
        </is>
      </c>
      <c r="D15" s="13" t="inlineStr">
        <is>
          <t>Activer arc en mode T1</t>
        </is>
      </c>
      <c r="E15" s="13" t="inlineStr">
        <is>
          <t>E-STOP immédiat</t>
        </is>
      </c>
      <c r="F15" s="16" t="inlineStr"/>
      <c r="G15" s="13" t="inlineStr"/>
    </row>
    <row r="16">
      <c r="A16" s="13" t="inlineStr">
        <is>
          <t>FAT-11</t>
        </is>
      </c>
      <c r="B16" s="13" t="inlineStr">
        <is>
          <t>Fallback</t>
        </is>
      </c>
      <c r="C16" s="13" t="inlineStr">
        <is>
          <t>Perte comm IA</t>
        </is>
      </c>
      <c r="D16" s="13" t="inlineStr">
        <is>
          <t>Couper réseau Edge Node</t>
        </is>
      </c>
      <c r="E16" s="13" t="inlineStr">
        <is>
          <t>Fallback PLC &lt;500ms, cellule sûre</t>
        </is>
      </c>
      <c r="F16" s="16" t="inlineStr"/>
      <c r="G16" s="13" t="inlineStr"/>
    </row>
    <row r="17">
      <c r="A17" s="13" t="inlineStr">
        <is>
          <t>FAT-12</t>
        </is>
      </c>
      <c r="B17" s="13" t="inlineStr">
        <is>
          <t>Logging</t>
        </is>
      </c>
      <c r="C17" s="13" t="inlineStr">
        <is>
          <t>Journalisation</t>
        </is>
      </c>
      <c r="D17" s="13" t="inlineStr">
        <is>
          <t>Déclencher 10 événements</t>
        </is>
      </c>
      <c r="E17" s="13" t="inlineStr">
        <is>
          <t>Tous événements logués correctement</t>
        </is>
      </c>
      <c r="F17" s="16" t="inlineStr"/>
      <c r="G17" s="13" t="inlineStr"/>
    </row>
    <row r="18">
      <c r="A18" s="13" t="inlineStr">
        <is>
          <t>FAT-13</t>
        </is>
      </c>
      <c r="B18" s="13" t="inlineStr">
        <is>
          <t>Dashboard</t>
        </is>
      </c>
      <c r="C18" s="13" t="inlineStr">
        <is>
          <t>Affichage temps réel</t>
        </is>
      </c>
      <c r="D18" s="13" t="inlineStr">
        <is>
          <t>Vérifier tous indicateurs</t>
        </is>
      </c>
      <c r="E18" s="13" t="inlineStr">
        <is>
          <t>Mise à jour &lt;1s, valeurs cohérentes</t>
        </is>
      </c>
      <c r="F18" s="16" t="inlineStr"/>
      <c r="G18" s="13" t="inlineStr"/>
    </row>
    <row r="19">
      <c r="A19" s="13" t="inlineStr">
        <is>
          <t>FAT-14</t>
        </is>
      </c>
      <c r="B19" s="13" t="inlineStr">
        <is>
          <t>Recovery</t>
        </is>
      </c>
      <c r="C19" s="13" t="inlineStr">
        <is>
          <t>Reset après STOP</t>
        </is>
      </c>
      <c r="D19" s="13" t="inlineStr">
        <is>
          <t>Demander reset avec présence</t>
        </is>
      </c>
      <c r="E19" s="13" t="inlineStr">
        <is>
          <t>Reset bloqué, message affiché</t>
        </is>
      </c>
      <c r="F19" s="16" t="inlineStr"/>
      <c r="G19" s="13" t="inlineStr"/>
    </row>
    <row r="25">
      <c r="A25" s="50" t="inlineStr">
        <is>
          <t>B. TESTS SAT (Site Acceptance Test) - Sur site client</t>
        </is>
      </c>
    </row>
    <row r="27">
      <c r="A27" s="12" t="inlineStr">
        <is>
          <t>ID</t>
        </is>
      </c>
      <c r="B27" s="12" t="inlineStr">
        <is>
          <t>Catégorie</t>
        </is>
      </c>
      <c r="C27" s="12" t="inlineStr">
        <is>
          <t>Test</t>
        </is>
      </c>
      <c r="D27" s="12" t="inlineStr">
        <is>
          <t>Procédure</t>
        </is>
      </c>
      <c r="E27" s="12" t="inlineStr">
        <is>
          <t>Critère acceptation</t>
        </is>
      </c>
      <c r="F27" s="12" t="inlineStr">
        <is>
          <t>Résultat</t>
        </is>
      </c>
      <c r="G27" s="12" t="inlineStr">
        <is>
          <t>Commentaire</t>
        </is>
      </c>
    </row>
    <row r="28">
      <c r="A28" s="13" t="inlineStr">
        <is>
          <t>SAT-01</t>
        </is>
      </c>
      <c r="B28" s="13" t="inlineStr">
        <is>
          <t>Intégration</t>
        </is>
      </c>
      <c r="C28" s="13" t="inlineStr">
        <is>
          <t>Comm réelle robot</t>
        </is>
      </c>
      <c r="D28" s="13" t="inlineStr">
        <is>
          <t>Cycle production réel</t>
        </is>
      </c>
      <c r="E28" s="13" t="inlineStr">
        <is>
          <t>Données correctes pendant cycle complet</t>
        </is>
      </c>
      <c r="F28" s="16" t="inlineStr"/>
      <c r="G28" s="13" t="inlineStr"/>
    </row>
    <row r="29">
      <c r="A29" s="13" t="inlineStr">
        <is>
          <t>SAT-02</t>
        </is>
      </c>
      <c r="B29" s="13" t="inlineStr">
        <is>
          <t>Intégration</t>
        </is>
      </c>
      <c r="C29" s="13" t="inlineStr">
        <is>
          <t>Comm réelle PLC</t>
        </is>
      </c>
      <c r="D29" s="13" t="inlineStr">
        <is>
          <t>Interaction sécurités existantes</t>
        </is>
      </c>
      <c r="E29" s="13" t="inlineStr">
        <is>
          <t>Cohérence scanners/barrière/E-stop</t>
        </is>
      </c>
      <c r="F29" s="16" t="inlineStr"/>
      <c r="G29" s="13" t="inlineStr"/>
    </row>
    <row r="30">
      <c r="A30" s="13" t="inlineStr">
        <is>
          <t>SAT-03</t>
        </is>
      </c>
      <c r="B30" s="13" t="inlineStr">
        <is>
          <t>Intégration</t>
        </is>
      </c>
      <c r="C30" s="13" t="inlineStr">
        <is>
          <t>Source soudage</t>
        </is>
      </c>
      <c r="D30" s="13" t="inlineStr">
        <is>
          <t>Détection arc ON/OFF</t>
        </is>
      </c>
      <c r="E30" s="13" t="inlineStr">
        <is>
          <t>Synchronisation arc ↔ RoboSafe &lt;100ms</t>
        </is>
      </c>
      <c r="F30" s="16" t="inlineStr"/>
      <c r="G30" s="13" t="inlineStr"/>
    </row>
    <row r="31">
      <c r="A31" s="13" t="inlineStr">
        <is>
          <t>SAT-04</t>
        </is>
      </c>
      <c r="B31" s="13" t="inlineStr">
        <is>
          <t>Vision</t>
        </is>
      </c>
      <c r="C31" s="13" t="inlineStr">
        <is>
          <t>Conditions réelles</t>
        </is>
      </c>
      <c r="D31" s="13" t="inlineStr">
        <is>
          <t>Test avec éclairage usine, flash arc</t>
        </is>
      </c>
      <c r="E31" s="13" t="inlineStr">
        <is>
          <t>Détection stable malgré perturbations</t>
        </is>
      </c>
      <c r="F31" s="16" t="inlineStr"/>
      <c r="G31" s="13" t="inlineStr"/>
    </row>
    <row r="32">
      <c r="A32" s="13" t="inlineStr">
        <is>
          <t>SAT-05</t>
        </is>
      </c>
      <c r="B32" s="13" t="inlineStr">
        <is>
          <t>Fumées</t>
        </is>
      </c>
      <c r="C32" s="13" t="inlineStr">
        <is>
          <t>Mesure réelle</t>
        </is>
      </c>
      <c r="D32" s="13" t="inlineStr">
        <is>
          <t>Cycle soudage complet</t>
        </is>
      </c>
      <c r="E32" s="13" t="inlineStr">
        <is>
          <t>Corrélation capteur ↔ mesure référence</t>
        </is>
      </c>
      <c r="F32" s="16" t="inlineStr"/>
      <c r="G32" s="13" t="inlineStr"/>
    </row>
    <row r="33">
      <c r="A33" s="13" t="inlineStr">
        <is>
          <t>SAT-06</t>
        </is>
      </c>
      <c r="B33" s="13" t="inlineStr">
        <is>
          <t>Fumées</t>
        </is>
      </c>
      <c r="C33" s="13" t="inlineStr">
        <is>
          <t>Pic soudage</t>
        </is>
      </c>
      <c r="D33" s="13" t="inlineStr">
        <is>
          <t>Soudage intense (haute intensité)</t>
        </is>
      </c>
      <c r="E33" s="13" t="inlineStr">
        <is>
          <t>Détection pic, alerte correcte</t>
        </is>
      </c>
      <c r="F33" s="16" t="inlineStr"/>
      <c r="G33" s="13" t="inlineStr"/>
    </row>
    <row r="34">
      <c r="A34" s="13" t="inlineStr">
        <is>
          <t>SAT-07</t>
        </is>
      </c>
      <c r="B34" s="13" t="inlineStr">
        <is>
          <t>Scénario AUTO</t>
        </is>
      </c>
      <c r="C34" s="13" t="inlineStr">
        <is>
          <t>Cycle complet</t>
        </is>
      </c>
      <c r="D34" s="13" t="inlineStr">
        <is>
          <t>10 cycles production</t>
        </is>
      </c>
      <c r="E34" s="13" t="inlineStr">
        <is>
          <t>Pas de faux arrêts, logs corrects</t>
        </is>
      </c>
      <c r="F34" s="16" t="inlineStr"/>
      <c r="G34" s="13" t="inlineStr"/>
    </row>
    <row r="35">
      <c r="A35" s="13" t="inlineStr">
        <is>
          <t>SAT-08</t>
        </is>
      </c>
      <c r="B35" s="13" t="inlineStr">
        <is>
          <t>Scénario TEACH</t>
        </is>
      </c>
      <c r="C35" s="13" t="inlineStr">
        <is>
          <t>Programmation réelle</t>
        </is>
      </c>
      <c r="D35" s="13" t="inlineStr">
        <is>
          <t>Opérateur programme trajectoire</t>
        </is>
      </c>
      <c r="E35" s="13" t="inlineStr">
        <is>
          <t>SLOW correct, pas blocage excessif</t>
        </is>
      </c>
      <c r="F35" s="16" t="inlineStr"/>
      <c r="G35" s="13" t="inlineStr"/>
    </row>
    <row r="36">
      <c r="A36" s="13" t="inlineStr">
        <is>
          <t>SAT-09</t>
        </is>
      </c>
      <c r="B36" s="13" t="inlineStr">
        <is>
          <t>Scénario SETUP</t>
        </is>
      </c>
      <c r="C36" s="13" t="inlineStr">
        <is>
          <t>Changement série</t>
        </is>
      </c>
      <c r="D36" s="13" t="inlineStr">
        <is>
          <t>Changement pièce réel</t>
        </is>
      </c>
      <c r="E36" s="13" t="inlineStr">
        <is>
          <t>Détection présence, robot bloqué OK</t>
        </is>
      </c>
      <c r="F36" s="16" t="inlineStr"/>
      <c r="G36" s="13" t="inlineStr"/>
    </row>
    <row r="37">
      <c r="A37" s="13" t="inlineStr">
        <is>
          <t>SAT-10</t>
        </is>
      </c>
      <c r="B37" s="13" t="inlineStr">
        <is>
          <t>Scénario RECOVERY</t>
        </is>
      </c>
      <c r="C37" s="13" t="inlineStr">
        <is>
          <t>Reprise après E-stop</t>
        </is>
      </c>
      <c r="D37" s="13" t="inlineStr">
        <is>
          <t>E-stop puis reset</t>
        </is>
      </c>
      <c r="E37" s="13" t="inlineStr">
        <is>
          <t>Scan zone, reset conditionnel OK</t>
        </is>
      </c>
      <c r="F37" s="16" t="inlineStr"/>
      <c r="G37" s="13" t="inlineStr"/>
    </row>
    <row r="38">
      <c r="A38" s="13" t="inlineStr">
        <is>
          <t>SAT-11</t>
        </is>
      </c>
      <c r="B38" s="13" t="inlineStr">
        <is>
          <t>Performance</t>
        </is>
      </c>
      <c r="C38" s="13" t="inlineStr">
        <is>
          <t>Latence globale</t>
        </is>
      </c>
      <c r="D38" s="13" t="inlineStr">
        <is>
          <t>Mesure temps réponse</t>
        </is>
      </c>
      <c r="E38" s="13" t="inlineStr">
        <is>
          <t>STOP &lt;300ms bout en bout</t>
        </is>
      </c>
      <c r="F38" s="16" t="inlineStr"/>
      <c r="G38" s="13" t="inlineStr"/>
    </row>
    <row r="39">
      <c r="A39" s="13" t="inlineStr">
        <is>
          <t>SAT-12</t>
        </is>
      </c>
      <c r="B39" s="13" t="inlineStr">
        <is>
          <t>Endurance</t>
        </is>
      </c>
      <c r="C39" s="13" t="inlineStr">
        <is>
          <t>Fonctionnement 8h</t>
        </is>
      </c>
      <c r="D39" s="13" t="inlineStr">
        <is>
          <t>Shift complet</t>
        </is>
      </c>
      <c r="E39" s="13" t="inlineStr">
        <is>
          <t>Stabilité, pas de dérive, logs complets</t>
        </is>
      </c>
      <c r="F39" s="16" t="inlineStr"/>
      <c r="G39" s="13" t="inlineStr"/>
    </row>
    <row r="40">
      <c r="A40" s="13" t="inlineStr">
        <is>
          <t>SAT-13</t>
        </is>
      </c>
      <c r="B40" s="13" t="inlineStr">
        <is>
          <t>Formation</t>
        </is>
      </c>
      <c r="C40" s="13" t="inlineStr">
        <is>
          <t>Validation opérateur</t>
        </is>
      </c>
      <c r="D40" s="13" t="inlineStr">
        <is>
          <t>Opérateur utilise système</t>
        </is>
      </c>
      <c r="E40" s="13" t="inlineStr">
        <is>
          <t>Quiz &gt;80%, manipulation correcte</t>
        </is>
      </c>
      <c r="F40" s="16" t="inlineStr"/>
      <c r="G40" s="13" t="inlineStr"/>
    </row>
    <row r="41">
      <c r="A41" s="13" t="inlineStr">
        <is>
          <t>SAT-14</t>
        </is>
      </c>
      <c r="B41" s="13" t="inlineStr">
        <is>
          <t>Documentation</t>
        </is>
      </c>
      <c r="C41" s="13" t="inlineStr">
        <is>
          <t>Dossier complet</t>
        </is>
      </c>
      <c r="D41" s="13" t="inlineStr">
        <is>
          <t>Revue documentation</t>
        </is>
      </c>
      <c r="E41" s="13" t="inlineStr">
        <is>
          <t>Tous documents fournis et validés</t>
        </is>
      </c>
      <c r="F41" s="16" t="inlineStr"/>
      <c r="G41" s="13" t="inlineStr"/>
    </row>
    <row r="47">
      <c r="A47" s="11" t="inlineStr">
        <is>
          <t>C. CRITÈRES D'ACCEPTATION GLOBAUX</t>
        </is>
      </c>
    </row>
    <row r="49">
      <c r="A49" s="12" t="inlineStr">
        <is>
          <t>Critère</t>
        </is>
      </c>
      <c r="B49" s="12" t="inlineStr">
        <is>
          <t>Seuil</t>
        </is>
      </c>
      <c r="C49" s="51" t="inlineStr">
        <is>
          <t>Mesuré</t>
        </is>
      </c>
      <c r="D49" s="51" t="inlineStr">
        <is>
          <t>Statut</t>
        </is>
      </c>
    </row>
    <row r="50">
      <c r="A50" s="13" t="inlineStr">
        <is>
          <t>Taux détection présence</t>
        </is>
      </c>
      <c r="B50" s="13" t="inlineStr">
        <is>
          <t>≥95%</t>
        </is>
      </c>
      <c r="C50" s="16" t="inlineStr"/>
      <c r="D50" s="16" t="inlineStr"/>
    </row>
    <row r="51">
      <c r="A51" s="13" t="inlineStr">
        <is>
          <t>Taux faux positifs</t>
        </is>
      </c>
      <c r="B51" s="13" t="inlineStr">
        <is>
          <t>≤15%</t>
        </is>
      </c>
      <c r="C51" s="16" t="inlineStr"/>
      <c r="D51" s="16" t="inlineStr"/>
    </row>
    <row r="52">
      <c r="A52" s="13" t="inlineStr">
        <is>
          <t>Latence STOP (intrusion → arrêt)</t>
        </is>
      </c>
      <c r="B52" s="13" t="inlineStr">
        <is>
          <t>≤300ms</t>
        </is>
      </c>
      <c r="C52" s="16" t="inlineStr"/>
      <c r="D52" s="16" t="inlineStr"/>
    </row>
    <row r="53">
      <c r="A53" s="13" t="inlineStr">
        <is>
          <t>Disponibilité système (uptime)</t>
        </is>
      </c>
      <c r="B53" s="13" t="inlineStr">
        <is>
          <t>≥99%</t>
        </is>
      </c>
      <c r="C53" s="16" t="inlineStr"/>
      <c r="D53" s="16" t="inlineStr"/>
    </row>
    <row r="54">
      <c r="A54" s="13" t="inlineStr">
        <is>
          <t>Précision capteur fumées</t>
        </is>
      </c>
      <c r="B54" s="13" t="inlineStr">
        <is>
          <t>±15% vs référence</t>
        </is>
      </c>
      <c r="C54" s="16" t="inlineStr"/>
      <c r="D54" s="16" t="inlineStr"/>
    </row>
    <row r="55">
      <c r="A55" s="13" t="inlineStr">
        <is>
          <t>Score confiance IA moyen</t>
        </is>
      </c>
      <c r="B55" s="13" t="inlineStr">
        <is>
          <t>≥0.75</t>
        </is>
      </c>
      <c r="C55" s="16" t="inlineStr"/>
      <c r="D55" s="16" t="inlineStr"/>
    </row>
    <row r="56">
      <c r="A56" s="13" t="inlineStr">
        <is>
          <t>Tests FAT passés</t>
        </is>
      </c>
      <c r="B56" s="13" t="inlineStr">
        <is>
          <t>100%</t>
        </is>
      </c>
      <c r="C56" s="16" t="inlineStr"/>
      <c r="D56" s="16" t="inlineStr"/>
    </row>
    <row r="57">
      <c r="A57" s="13" t="inlineStr">
        <is>
          <t>Tests SAT passés</t>
        </is>
      </c>
      <c r="B57" s="13" t="inlineStr">
        <is>
          <t>≥95%</t>
        </is>
      </c>
      <c r="C57" s="16" t="inlineStr"/>
      <c r="D57" s="16" t="inlineStr"/>
    </row>
    <row r="58">
      <c r="A58" s="13" t="inlineStr">
        <is>
          <t>Formation opérateurs validée</t>
        </is>
      </c>
      <c r="B58" s="13" t="inlineStr">
        <is>
          <t>100% effectif</t>
        </is>
      </c>
      <c r="C58" s="16" t="inlineStr"/>
      <c r="D58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5" customWidth="1" min="12" max="12"/>
  </cols>
  <sheetData>
    <row r="1">
      <c r="A1" s="9" t="inlineStr">
        <is>
          <t>PLAN DE FORMATION ROBOSAFE - CELLULE SOUDAGE MIG</t>
        </is>
      </c>
    </row>
    <row r="3">
      <c r="A3" s="11" t="inlineStr">
        <is>
          <t>A. MODULES DE FORMATION</t>
        </is>
      </c>
    </row>
    <row r="5">
      <c r="A5" s="52" t="inlineStr">
        <is>
          <t>Module</t>
        </is>
      </c>
      <c r="B5" s="52" t="inlineStr">
        <is>
          <t>Public cible</t>
        </is>
      </c>
      <c r="C5" s="52" t="inlineStr">
        <is>
          <t>Durée</t>
        </is>
      </c>
      <c r="D5" s="52" t="inlineStr">
        <is>
          <t>Contenu</t>
        </is>
      </c>
      <c r="E5" s="52" t="inlineStr">
        <is>
          <t>Méthode</t>
        </is>
      </c>
      <c r="F5" s="52" t="inlineStr">
        <is>
          <t>Validation</t>
        </is>
      </c>
    </row>
    <row r="6">
      <c r="A6" s="53" t="inlineStr">
        <is>
          <t>M1 - Sensibilisation RoboSafe</t>
        </is>
      </c>
      <c r="B6" s="53" t="inlineStr">
        <is>
          <t>Tous (opérateurs, HSE, maint.)</t>
        </is>
      </c>
      <c r="C6" s="53" t="inlineStr">
        <is>
          <t>1h</t>
        </is>
      </c>
      <c r="D6" s="53" t="inlineStr">
        <is>
          <t>Objectifs système, bénéfices sécurité, fonctionnement général</t>
        </is>
      </c>
      <c r="E6" s="53" t="inlineStr">
        <is>
          <t>Présentation + vidéo</t>
        </is>
      </c>
      <c r="F6" s="53" t="inlineStr">
        <is>
          <t>Présence</t>
        </is>
      </c>
    </row>
    <row r="7">
      <c r="A7" s="53" t="inlineStr">
        <is>
          <t>M2 - Interface opérateur</t>
        </is>
      </c>
      <c r="B7" s="53" t="inlineStr">
        <is>
          <t>Opérateurs cellule</t>
        </is>
      </c>
      <c r="C7" s="53" t="inlineStr">
        <is>
          <t>2h</t>
        </is>
      </c>
      <c r="D7" s="53" t="inlineStr">
        <is>
          <t>Dashboard, alertes, réactions attendues, signification voyants</t>
        </is>
      </c>
      <c r="E7" s="53" t="inlineStr">
        <is>
          <t>Pratique sur simulateur</t>
        </is>
      </c>
      <c r="F7" s="53" t="inlineStr">
        <is>
          <t>Quiz ≥80%</t>
        </is>
      </c>
    </row>
    <row r="8">
      <c r="A8" s="53" t="inlineStr">
        <is>
          <t>M3 - Scénarios d'urgence</t>
        </is>
      </c>
      <c r="B8" s="53" t="inlineStr">
        <is>
          <t>Opérateurs + HSE</t>
        </is>
      </c>
      <c r="C8" s="53" t="inlineStr">
        <is>
          <t>2h</t>
        </is>
      </c>
      <c r="D8" s="53" t="inlineStr">
        <is>
          <t>E-stop, reprise, comportement si alerte fumées/intrusion</t>
        </is>
      </c>
      <c r="E8" s="53" t="inlineStr">
        <is>
          <t>Mise en situation</t>
        </is>
      </c>
      <c r="F8" s="53" t="inlineStr">
        <is>
          <t>Évaluation pratique</t>
        </is>
      </c>
    </row>
    <row r="9">
      <c r="A9" s="53" t="inlineStr">
        <is>
          <t>M4 - Risques soudage + RoboSafe</t>
        </is>
      </c>
      <c r="B9" s="53" t="inlineStr">
        <is>
          <t>Opérateurs soudage</t>
        </is>
      </c>
      <c r="C9" s="53" t="inlineStr">
        <is>
          <t>2h</t>
        </is>
      </c>
      <c r="D9" s="53" t="inlineStr">
        <is>
          <t>Fumées, arc UV, projections; comment RoboSafe protège</t>
        </is>
      </c>
      <c r="E9" s="53" t="inlineStr">
        <is>
          <t>Interactif + cas réels</t>
        </is>
      </c>
      <c r="F9" s="53" t="inlineStr">
        <is>
          <t>Quiz ≥80%</t>
        </is>
      </c>
    </row>
    <row r="10">
      <c r="A10" s="53" t="inlineStr">
        <is>
          <t>M5 - Administration système</t>
        </is>
      </c>
      <c r="B10" s="53" t="inlineStr">
        <is>
          <t>HSE + IT</t>
        </is>
      </c>
      <c r="C10" s="53" t="inlineStr">
        <is>
          <t>4h</t>
        </is>
      </c>
      <c r="D10" s="53" t="inlineStr">
        <is>
          <t>Configuration seuils, revue logs, ajustements, reporting</t>
        </is>
      </c>
      <c r="E10" s="53" t="inlineStr">
        <is>
          <t>Hands-on</t>
        </is>
      </c>
      <c r="F10" s="53" t="inlineStr">
        <is>
          <t>Exercice pratique</t>
        </is>
      </c>
    </row>
    <row r="11">
      <c r="A11" s="53" t="inlineStr">
        <is>
          <t>M6 - Maintenance niveau 1</t>
        </is>
      </c>
      <c r="B11" s="53" t="inlineStr">
        <is>
          <t>Maintenance</t>
        </is>
      </c>
      <c r="C11" s="53" t="inlineStr">
        <is>
          <t>3h</t>
        </is>
      </c>
      <c r="D11" s="53" t="inlineStr">
        <is>
          <t>Diagnostic pannes, remplacement capteurs, calibration</t>
        </is>
      </c>
      <c r="E11" s="53" t="inlineStr">
        <is>
          <t>Pratique</t>
        </is>
      </c>
      <c r="F11" s="53" t="inlineStr">
        <is>
          <t>Checklist validée</t>
        </is>
      </c>
    </row>
    <row r="12">
      <c r="A12" s="53" t="inlineStr">
        <is>
          <t>M7 - Analyse incidents</t>
        </is>
      </c>
      <c r="B12" s="53" t="inlineStr">
        <is>
          <t>HSE</t>
        </is>
      </c>
      <c r="C12" s="53" t="inlineStr">
        <is>
          <t>2h</t>
        </is>
      </c>
      <c r="D12" s="53" t="inlineStr">
        <is>
          <t>Lecture logs, investigation, actions correctives</t>
        </is>
      </c>
      <c r="E12" s="53" t="inlineStr">
        <is>
          <t>Cas d'étude</t>
        </is>
      </c>
      <c r="F12" s="53" t="inlineStr">
        <is>
          <t>Rapport analyse</t>
        </is>
      </c>
    </row>
    <row r="15">
      <c r="A15" s="11" t="inlineStr">
        <is>
          <t>B. QUIZ VALIDATION MODULE M2 (Exemple)</t>
        </is>
      </c>
    </row>
    <row r="17">
      <c r="A17" s="12" t="inlineStr">
        <is>
          <t>#</t>
        </is>
      </c>
      <c r="B17" s="12" t="inlineStr">
        <is>
          <t>Question</t>
        </is>
      </c>
      <c r="C17" s="12" t="inlineStr">
        <is>
          <t>Réponses possibles</t>
        </is>
      </c>
      <c r="D17" s="12" t="inlineStr">
        <is>
          <t>Bonne réponse</t>
        </is>
      </c>
    </row>
    <row r="18">
      <c r="A18" s="13" t="inlineStr">
        <is>
          <t>Q1</t>
        </is>
      </c>
      <c r="B18" s="13" t="inlineStr">
        <is>
          <t>Que signifie un voyant ORANGE sur le dashboard RoboSafe?</t>
        </is>
      </c>
      <c r="C18" s="13" t="inlineStr">
        <is>
          <t>A) Arrêt d'urgence B) Alerte active C) Tout est normal D) Maintenance requise</t>
        </is>
      </c>
      <c r="D18" s="14" t="inlineStr">
        <is>
          <t>B</t>
        </is>
      </c>
    </row>
    <row r="19">
      <c r="A19" s="13" t="inlineStr">
        <is>
          <t>Q2</t>
        </is>
      </c>
      <c r="B19" s="13" t="inlineStr">
        <is>
          <t>Si une alerte fumées &gt;80% VLEP apparaît, que devez-vous faire?</t>
        </is>
      </c>
      <c r="C19" s="13" t="inlineStr">
        <is>
          <t>A) Ignorer B) Continuer en vérifiant la ventilation C) Quitter la zone immédiatement D) Vérifier ventilation, porter masque si nécessaire</t>
        </is>
      </c>
      <c r="D19" s="14" t="inlineStr">
        <is>
          <t>D</t>
        </is>
      </c>
    </row>
    <row r="20">
      <c r="A20" s="13" t="inlineStr">
        <is>
          <t>Q3</t>
        </is>
      </c>
      <c r="B20" s="13" t="inlineStr">
        <is>
          <t>Quelle est la distance minimale de sécurité en mode AUTO?</t>
        </is>
      </c>
      <c r="C20" s="13" t="inlineStr">
        <is>
          <t>A) 50cm B) 80cm C) 150cm D) 300cm</t>
        </is>
      </c>
      <c r="D20" s="14" t="inlineStr">
        <is>
          <t>C</t>
        </is>
      </c>
    </row>
    <row r="21">
      <c r="A21" s="13" t="inlineStr">
        <is>
          <t>Q4</t>
        </is>
      </c>
      <c r="B21" s="13" t="inlineStr">
        <is>
          <t>Que se passe-t-il si vous entrez en zone PROTECT pendant le cycle?</t>
        </is>
      </c>
      <c r="C21" s="13" t="inlineStr">
        <is>
          <t>A) Rien B) Alerte sonore C) Robot ralentit D) Robot s'arrête immédiatement</t>
        </is>
      </c>
      <c r="D21" s="14" t="inlineStr">
        <is>
          <t>D</t>
        </is>
      </c>
    </row>
    <row r="22">
      <c r="A22" s="13" t="inlineStr">
        <is>
          <t>Q5</t>
        </is>
      </c>
      <c r="B22" s="13" t="inlineStr">
        <is>
          <t>Avant de demander un reset après un arrêt, vous devez:</t>
        </is>
      </c>
      <c r="C22" s="13" t="inlineStr">
        <is>
          <t>A) Appuyer directement sur reset B) Vérifier que la zone est libre C) Attendre 5 minutes D) Appeler le superviseur</t>
        </is>
      </c>
      <c r="D22" s="14" t="inlineStr">
        <is>
          <t>B</t>
        </is>
      </c>
    </row>
    <row r="23">
      <c r="A23" s="13" t="inlineStr">
        <is>
          <t>Q6</t>
        </is>
      </c>
      <c r="B23" s="13" t="inlineStr">
        <is>
          <t>Un override de sécurité doit être:</t>
        </is>
      </c>
      <c r="C23" s="13" t="inlineStr">
        <is>
          <t>A) Utilisé librement B) Jamais utilisé C) Utilisé uniquement avec autorisation HSE et justification D) Utilisé par tout opérateur</t>
        </is>
      </c>
      <c r="D23" s="14" t="inlineStr">
        <is>
          <t>C</t>
        </is>
      </c>
    </row>
    <row r="24">
      <c r="A24" s="13" t="inlineStr">
        <is>
          <t>Q7</t>
        </is>
      </c>
      <c r="B24" s="13" t="inlineStr">
        <is>
          <t>Que signifie une confiance IA &lt;60% affichée?</t>
        </is>
      </c>
      <c r="C24" s="13" t="inlineStr">
        <is>
          <t>A) Système optimal B) Détection peut être imprécise, marges augmentées C) Système en panne D) Aucun impact</t>
        </is>
      </c>
      <c r="D24" s="14" t="inlineStr">
        <is>
          <t>B</t>
        </is>
      </c>
    </row>
    <row r="25">
      <c r="A25" s="13" t="inlineStr">
        <is>
          <t>Q8</t>
        </is>
      </c>
      <c r="B25" s="13" t="inlineStr">
        <is>
          <t>En mode TEACH, si vous êtes à moins d'1m du robot:</t>
        </is>
      </c>
      <c r="C25" s="13" t="inlineStr">
        <is>
          <t>A) Vitesse normale B) Robot s'arrête C) Vitesse réduite à 25% D) Alerte sonore uniquement</t>
        </is>
      </c>
      <c r="D25" s="14" t="inlineStr">
        <is>
          <t>C</t>
        </is>
      </c>
    </row>
    <row r="26">
      <c r="A26" s="13" t="inlineStr">
        <is>
          <t>Q9</t>
        </is>
      </c>
      <c r="B26" s="13" t="inlineStr">
        <is>
          <t>Quel EPI est détecté par la vision IA?</t>
        </is>
      </c>
      <c r="C26" s="13" t="inlineStr">
        <is>
          <t>A) Casque uniquement B) Lunettes et gants C) Chaussures D) Combinaison</t>
        </is>
      </c>
      <c r="D26" s="14" t="inlineStr">
        <is>
          <t>B</t>
        </is>
      </c>
    </row>
    <row r="27">
      <c r="A27" s="13" t="inlineStr">
        <is>
          <t>Q10</t>
        </is>
      </c>
      <c r="B27" s="13" t="inlineStr">
        <is>
          <t>Si le capteur fumées affiche une erreur:</t>
        </is>
      </c>
      <c r="C27" s="13" t="inlineStr">
        <is>
          <t>A) Continuer normalement B) Arrêter et informer maintenance C) Ignorer D) Augmenter la ventilation</t>
        </is>
      </c>
      <c r="D27" s="14" t="inlineStr">
        <is>
          <t>B</t>
        </is>
      </c>
    </row>
    <row r="32">
      <c r="A32" s="11" t="inlineStr">
        <is>
          <t>C. REGISTRE DES FORMATIONS (à compléter)</t>
        </is>
      </c>
    </row>
    <row r="34">
      <c r="A34" s="12" t="inlineStr">
        <is>
          <t>Nom</t>
        </is>
      </c>
      <c r="B34" s="12" t="inlineStr">
        <is>
          <t>Fonction</t>
        </is>
      </c>
      <c r="C34" s="12" t="inlineStr">
        <is>
          <t>M1</t>
        </is>
      </c>
      <c r="D34" s="12" t="inlineStr">
        <is>
          <t>M2</t>
        </is>
      </c>
      <c r="E34" s="12" t="inlineStr">
        <is>
          <t>M3</t>
        </is>
      </c>
      <c r="F34" s="12" t="inlineStr">
        <is>
          <t>M4</t>
        </is>
      </c>
      <c r="G34" s="12" t="inlineStr">
        <is>
          <t>M5</t>
        </is>
      </c>
      <c r="H34" s="12" t="inlineStr">
        <is>
          <t>M6</t>
        </is>
      </c>
      <c r="I34" s="12" t="inlineStr">
        <is>
          <t>M7</t>
        </is>
      </c>
      <c r="J34" s="12" t="inlineStr">
        <is>
          <t>Quiz M2</t>
        </is>
      </c>
      <c r="K34" s="12" t="inlineStr">
        <is>
          <t>Quiz M4</t>
        </is>
      </c>
      <c r="L34" s="12" t="inlineStr">
        <is>
          <t>Signature</t>
        </is>
      </c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35" customWidth="1" min="4" max="4"/>
    <col width="18" customWidth="1" min="5" max="5"/>
    <col width="12" customWidth="1" min="6" max="6"/>
    <col width="30" customWidth="1" min="7" max="7"/>
    <col width="25" customWidth="1" min="8" max="8"/>
    <col width="25" customWidth="1" min="9" max="9"/>
    <col width="15" customWidth="1" min="10" max="10"/>
    <col width="12" customWidth="1" min="11" max="11"/>
  </cols>
  <sheetData>
    <row r="1">
      <c r="A1" s="9" t="inlineStr">
        <is>
          <t>REGISTRE DE CHANGEMENTS ET REVALIDATION</t>
        </is>
      </c>
    </row>
    <row r="3">
      <c r="A3" s="11" t="inlineStr">
        <is>
          <t>A. REGISTRE DES CHANGEMENTS</t>
        </is>
      </c>
    </row>
    <row r="5">
      <c r="A5" s="12" t="inlineStr">
        <is>
          <t>N° CHG</t>
        </is>
      </c>
      <c r="B5" s="12" t="inlineStr">
        <is>
          <t>Date</t>
        </is>
      </c>
      <c r="C5" s="12" t="inlineStr">
        <is>
          <t>Demandeur</t>
        </is>
      </c>
      <c r="D5" s="12" t="inlineStr">
        <is>
          <t>Description</t>
        </is>
      </c>
      <c r="E5" s="12" t="inlineStr">
        <is>
          <t>Composant</t>
        </is>
      </c>
      <c r="F5" s="12" t="inlineStr">
        <is>
          <t>Impact sécu.</t>
        </is>
      </c>
      <c r="G5" s="12" t="inlineStr">
        <is>
          <t>Analyse impact</t>
        </is>
      </c>
      <c r="H5" s="12" t="inlineStr">
        <is>
          <t>Revalidation</t>
        </is>
      </c>
      <c r="I5" s="12" t="inlineStr">
        <is>
          <t>Tests requis</t>
        </is>
      </c>
      <c r="J5" s="12" t="inlineStr">
        <is>
          <t>Validé par</t>
        </is>
      </c>
      <c r="K5" s="12" t="inlineStr">
        <is>
          <t>Statut</t>
        </is>
      </c>
    </row>
    <row r="6">
      <c r="A6" s="13" t="inlineStr">
        <is>
          <t>CHG-001</t>
        </is>
      </c>
      <c r="B6" s="16" t="inlineStr"/>
      <c r="C6" s="16" t="inlineStr"/>
      <c r="D6" s="13" t="inlineStr">
        <is>
          <t>Ajustement seuil fumées 80%→70%</t>
        </is>
      </c>
      <c r="E6" s="13" t="inlineStr">
        <is>
          <t>Config RoboSafe</t>
        </is>
      </c>
      <c r="F6" s="45" t="inlineStr">
        <is>
          <t>OUI</t>
        </is>
      </c>
      <c r="G6" s="13" t="inlineStr">
        <is>
          <t>Plus d'alertes préventives</t>
        </is>
      </c>
      <c r="H6" s="13" t="inlineStr">
        <is>
          <t>RS-030, RS-031</t>
        </is>
      </c>
      <c r="I6" s="13" t="inlineStr">
        <is>
          <t>Test alertes</t>
        </is>
      </c>
      <c r="J6" s="16" t="inlineStr"/>
      <c r="K6" s="13" t="inlineStr">
        <is>
          <t>PLANIFIÉ</t>
        </is>
      </c>
    </row>
    <row r="7">
      <c r="A7" s="13" t="inlineStr">
        <is>
          <t>CHG-002</t>
        </is>
      </c>
      <c r="B7" s="16" t="inlineStr"/>
      <c r="C7" s="16" t="inlineStr"/>
      <c r="D7" s="13" t="inlineStr">
        <is>
          <t>MAJ modèle vision v1.2→v1.3</t>
        </is>
      </c>
      <c r="E7" s="13" t="inlineStr">
        <is>
          <t>Vision IA</t>
        </is>
      </c>
      <c r="F7" s="44" t="inlineStr">
        <is>
          <t>POTENTIEL</t>
        </is>
      </c>
      <c r="G7" s="13" t="inlineStr">
        <is>
          <t>Vérifier taux détection</t>
        </is>
      </c>
      <c r="H7" s="13" t="inlineStr">
        <is>
          <t>Tous tests vision</t>
        </is>
      </c>
      <c r="I7" s="13" t="inlineStr">
        <is>
          <t>FAT-04, FAT-05</t>
        </is>
      </c>
      <c r="J7" s="16" t="inlineStr"/>
      <c r="K7" s="13" t="inlineStr">
        <is>
          <t>PLANIFIÉ</t>
        </is>
      </c>
    </row>
    <row r="8">
      <c r="A8" s="13" t="inlineStr">
        <is>
          <t>CHG-003</t>
        </is>
      </c>
      <c r="B8" s="16" t="inlineStr"/>
      <c r="C8" s="16" t="inlineStr"/>
      <c r="D8" s="13" t="inlineStr">
        <is>
          <t>Changement type torche soudage</t>
        </is>
      </c>
      <c r="E8" s="13" t="inlineStr">
        <is>
          <t>Outil</t>
        </is>
      </c>
      <c r="F8" s="45" t="inlineStr">
        <is>
          <t>OUI</t>
        </is>
      </c>
      <c r="G8" s="13" t="inlineStr">
        <is>
          <t>Impact zone travail, projections</t>
        </is>
      </c>
      <c r="H8" s="13" t="inlineStr">
        <is>
          <t>Analyse risques</t>
        </is>
      </c>
      <c r="I8" s="13" t="inlineStr">
        <is>
          <t>SAT-03, SAT-06</t>
        </is>
      </c>
      <c r="J8" s="16" t="inlineStr"/>
      <c r="K8" s="13" t="inlineStr">
        <is>
          <t>PLANIFIÉ</t>
        </is>
      </c>
    </row>
    <row r="9">
      <c r="A9" s="13" t="inlineStr">
        <is>
          <t>CHG-004</t>
        </is>
      </c>
      <c r="B9" s="16" t="inlineStr"/>
      <c r="C9" s="16" t="inlineStr"/>
      <c r="D9" s="13" t="inlineStr">
        <is>
          <t>Ajout 2ème capteur fumées</t>
        </is>
      </c>
      <c r="E9" s="13" t="inlineStr">
        <is>
          <t>Capteurs</t>
        </is>
      </c>
      <c r="F9" s="14" t="inlineStr">
        <is>
          <t>NON</t>
        </is>
      </c>
      <c r="G9" s="13" t="inlineStr">
        <is>
          <t>Amélioration couverture</t>
        </is>
      </c>
      <c r="H9" s="13" t="inlineStr">
        <is>
          <t>Config réseau</t>
        </is>
      </c>
      <c r="I9" s="13" t="inlineStr">
        <is>
          <t>FAT-06, FAT-07</t>
        </is>
      </c>
      <c r="J9" s="16" t="inlineStr"/>
      <c r="K9" s="13" t="inlineStr">
        <is>
          <t>PLANIFIÉ</t>
        </is>
      </c>
    </row>
    <row r="10">
      <c r="A10" s="13" t="inlineStr">
        <is>
          <t>CHG-005</t>
        </is>
      </c>
      <c r="B10" s="16" t="inlineStr"/>
      <c r="C10" s="16" t="inlineStr"/>
      <c r="D10" s="13" t="inlineStr">
        <is>
          <t>Modification zone scanner WARN</t>
        </is>
      </c>
      <c r="E10" s="13" t="inlineStr">
        <is>
          <t>Safety PLC</t>
        </is>
      </c>
      <c r="F10" s="45" t="inlineStr">
        <is>
          <t>OUI</t>
        </is>
      </c>
      <c r="G10" s="13" t="inlineStr">
        <is>
          <t>Distance détection modifiée</t>
        </is>
      </c>
      <c r="H10" s="13" t="inlineStr">
        <is>
          <t>Calcul SSM</t>
        </is>
      </c>
      <c r="I10" s="13" t="inlineStr">
        <is>
          <t>FAT-03, SAT-02</t>
        </is>
      </c>
      <c r="J10" s="16" t="inlineStr"/>
      <c r="K10" s="13" t="inlineStr">
        <is>
          <t>PLANIFIÉ</t>
        </is>
      </c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</row>
    <row r="28">
      <c r="A28" s="11" t="inlineStr">
        <is>
          <t>B. MATRICE DE REVALIDATION</t>
        </is>
      </c>
    </row>
    <row r="30">
      <c r="A30" s="12" t="inlineStr">
        <is>
          <t>Type changement</t>
        </is>
      </c>
      <c r="B30" s="12" t="inlineStr">
        <is>
          <t>Impact sécu.</t>
        </is>
      </c>
      <c r="C30" s="12" t="inlineStr">
        <is>
          <t>Tests à refaire</t>
        </is>
      </c>
      <c r="D30" s="12" t="inlineStr">
        <is>
          <t>Documents à MAJ</t>
        </is>
      </c>
      <c r="E30" s="12" t="inlineStr">
        <is>
          <t>Approbation requise</t>
        </is>
      </c>
    </row>
    <row r="31">
      <c r="A31" s="13" t="inlineStr">
        <is>
          <t>Modification seuils alertes</t>
        </is>
      </c>
      <c r="B31" s="45" t="inlineStr">
        <is>
          <t>OUI</t>
        </is>
      </c>
      <c r="C31" s="13" t="inlineStr">
        <is>
          <t>Tests règles concernées</t>
        </is>
      </c>
      <c r="D31" s="13" t="inlineStr">
        <is>
          <t>Config RoboSafe, DUR</t>
        </is>
      </c>
      <c r="E31" s="13" t="inlineStr">
        <is>
          <t>HSE</t>
        </is>
      </c>
    </row>
    <row r="32">
      <c r="A32" s="13" t="inlineStr">
        <is>
          <t>MAJ modèle IA vision</t>
        </is>
      </c>
      <c r="B32" s="44" t="inlineStr">
        <is>
          <t>POTENTIEL</t>
        </is>
      </c>
      <c r="C32" s="13" t="inlineStr">
        <is>
          <t>FAT vision complet</t>
        </is>
      </c>
      <c r="D32" s="13" t="inlineStr">
        <is>
          <t>Spec technique</t>
        </is>
      </c>
      <c r="E32" s="13" t="inlineStr">
        <is>
          <t>HSE + IT</t>
        </is>
      </c>
    </row>
    <row r="33">
      <c r="A33" s="13" t="inlineStr">
        <is>
          <t>MAJ firmware robot</t>
        </is>
      </c>
      <c r="B33" s="44" t="inlineStr">
        <is>
          <t>POTENTIEL</t>
        </is>
      </c>
      <c r="C33" s="13" t="inlineStr">
        <is>
          <t>Tests comm + sécurité</t>
        </is>
      </c>
      <c r="D33" s="13" t="inlineStr">
        <is>
          <t>Doc système</t>
        </is>
      </c>
      <c r="E33" s="13" t="inlineStr">
        <is>
          <t>Intégrateur + HSE</t>
        </is>
      </c>
    </row>
    <row r="34">
      <c r="A34" s="13" t="inlineStr">
        <is>
          <t>Changement outil/torche</t>
        </is>
      </c>
      <c r="B34" s="45" t="inlineStr">
        <is>
          <t>OUI</t>
        </is>
      </c>
      <c r="C34" s="13" t="inlineStr">
        <is>
          <t>Analyse risques + SAT</t>
        </is>
      </c>
      <c r="D34" s="13" t="inlineStr">
        <is>
          <t>DUR, config</t>
        </is>
      </c>
      <c r="E34" s="13" t="inlineStr">
        <is>
          <t>HSE + Intégrateur</t>
        </is>
      </c>
    </row>
    <row r="35">
      <c r="A35" s="13" t="inlineStr">
        <is>
          <t>Modification zones scanner</t>
        </is>
      </c>
      <c r="B35" s="45" t="inlineStr">
        <is>
          <t>OUI</t>
        </is>
      </c>
      <c r="C35" s="13" t="inlineStr">
        <is>
          <t>Calcul SSM + tests zones</t>
        </is>
      </c>
      <c r="D35" s="13" t="inlineStr">
        <is>
          <t>Plan sécurité, DUR</t>
        </is>
      </c>
      <c r="E35" s="13" t="inlineStr">
        <is>
          <t>HSE + Intégrateur</t>
        </is>
      </c>
    </row>
    <row r="36">
      <c r="A36" s="13" t="inlineStr">
        <is>
          <t>Ajout/retrait capteur</t>
        </is>
      </c>
      <c r="B36" s="44" t="inlineStr">
        <is>
          <t>POTENTIEL</t>
        </is>
      </c>
      <c r="C36" s="13" t="inlineStr">
        <is>
          <t>Tests capteur + intégration</t>
        </is>
      </c>
      <c r="D36" s="13" t="inlineStr">
        <is>
          <t>Architecture, config</t>
        </is>
      </c>
      <c r="E36" s="13" t="inlineStr">
        <is>
          <t>IT + HSE</t>
        </is>
      </c>
    </row>
    <row r="37">
      <c r="A37" s="13" t="inlineStr">
        <is>
          <t>Changement programme robot</t>
        </is>
      </c>
      <c r="B37" s="44" t="inlineStr">
        <is>
          <t>POTENTIEL</t>
        </is>
      </c>
      <c r="C37" s="13" t="inlineStr">
        <is>
          <t>Test trajectoires</t>
        </is>
      </c>
      <c r="D37" s="13" t="inlineStr">
        <is>
          <t>Programme backup</t>
        </is>
      </c>
      <c r="E37" s="13" t="inlineStr">
        <is>
          <t>Production + HSE</t>
        </is>
      </c>
    </row>
    <row r="38">
      <c r="A38" s="13" t="inlineStr">
        <is>
          <t>Modification layout cellule</t>
        </is>
      </c>
      <c r="B38" s="45" t="inlineStr">
        <is>
          <t>OUI</t>
        </is>
      </c>
      <c r="C38" s="13" t="inlineStr">
        <is>
          <t>Analyse risques complète</t>
        </is>
      </c>
      <c r="D38" s="13" t="inlineStr">
        <is>
          <t>Plan, DUR, config zones</t>
        </is>
      </c>
      <c r="E38" s="13" t="inlineStr">
        <is>
          <t>HSE + BE + Intégrateur</t>
        </is>
      </c>
    </row>
    <row r="42">
      <c r="A42" s="11" t="inlineStr">
        <is>
          <t>C. HISTORIQUE DES VERSIONS</t>
        </is>
      </c>
    </row>
    <row r="44">
      <c r="A44" s="12" t="inlineStr">
        <is>
          <t>Version</t>
        </is>
      </c>
      <c r="B44" s="12" t="inlineStr">
        <is>
          <t>Date</t>
        </is>
      </c>
      <c r="C44" s="12" t="inlineStr">
        <is>
          <t>Auteur</t>
        </is>
      </c>
      <c r="D44" s="12" t="inlineStr">
        <is>
          <t>Modifications</t>
        </is>
      </c>
      <c r="E44" s="12" t="inlineStr">
        <is>
          <t>Validé par</t>
        </is>
      </c>
    </row>
    <row r="45">
      <c r="A45" s="13" t="inlineStr">
        <is>
          <t>1.0</t>
        </is>
      </c>
      <c r="B45" s="13" t="inlineStr">
        <is>
          <t>2025-12-15</t>
        </is>
      </c>
      <c r="C45" s="13" t="inlineStr">
        <is>
          <t>AgenticX5</t>
        </is>
      </c>
      <c r="D45" s="13" t="inlineStr">
        <is>
          <t>Création initiale Pack Pilote</t>
        </is>
      </c>
      <c r="E45" s="16" t="inlineStr"/>
    </row>
    <row r="46">
      <c r="A46" s="16" t="inlineStr"/>
      <c r="B46" s="16" t="inlineStr"/>
      <c r="C46" s="16" t="inlineStr"/>
      <c r="D46" s="16" t="inlineStr"/>
      <c r="E46" s="16" t="inlineStr"/>
    </row>
    <row r="47">
      <c r="A47" s="16" t="inlineStr"/>
      <c r="B47" s="16" t="inlineStr"/>
      <c r="C47" s="16" t="inlineStr"/>
      <c r="D47" s="16" t="inlineStr"/>
      <c r="E47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20" customWidth="1" min="4" max="4"/>
    <col width="18" customWidth="1" min="5" max="5"/>
    <col width="15" customWidth="1" min="6" max="6"/>
    <col width="12" customWidth="1" min="7" max="7"/>
    <col width="25" customWidth="1" min="8" max="8"/>
  </cols>
  <sheetData>
    <row r="1">
      <c r="A1" s="54" t="inlineStr">
        <is>
          <t>⚠️ CHECKLIST DONNÉES À COLLECTER AVANT DÉPLOIEMENT</t>
        </is>
      </c>
    </row>
    <row r="3">
      <c r="A3" s="55" t="inlineStr">
        <is>
          <t>Toutes ces données doivent être collectées AVANT le déploiement pilote</t>
        </is>
      </c>
    </row>
    <row r="5">
      <c r="A5" s="12" t="inlineStr">
        <is>
          <t>#</t>
        </is>
      </c>
      <c r="B5" s="12" t="inlineStr">
        <is>
          <t>Catégorie</t>
        </is>
      </c>
      <c r="C5" s="12" t="inlineStr">
        <is>
          <t>Donnée</t>
        </is>
      </c>
      <c r="D5" s="12" t="inlineStr">
        <is>
          <t>Source</t>
        </is>
      </c>
      <c r="E5" s="12" t="inlineStr">
        <is>
          <t>Responsable</t>
        </is>
      </c>
      <c r="F5" s="12" t="inlineStr">
        <is>
          <t>Date limite</t>
        </is>
      </c>
      <c r="G5" s="12" t="inlineStr">
        <is>
          <t>Statut</t>
        </is>
      </c>
      <c r="H5" s="12" t="inlineStr">
        <is>
          <t>Valeur</t>
        </is>
      </c>
    </row>
    <row r="6">
      <c r="A6" s="13" t="inlineStr">
        <is>
          <t>1</t>
        </is>
      </c>
      <c r="B6" s="47" t="inlineStr">
        <is>
          <t>TECHNIQUE</t>
        </is>
      </c>
      <c r="C6" s="13" t="inlineStr">
        <is>
          <t>Adresse IP PLC S7-1500F</t>
        </is>
      </c>
      <c r="D6" s="13" t="inlineStr">
        <is>
          <t>IT/Automatisme</t>
        </is>
      </c>
      <c r="E6" s="16" t="inlineStr"/>
      <c r="F6" s="16" t="inlineStr"/>
      <c r="G6" s="16" t="inlineStr"/>
      <c r="H6" s="16" t="inlineStr"/>
    </row>
    <row r="7">
      <c r="A7" s="13" t="inlineStr">
        <is>
          <t>2</t>
        </is>
      </c>
      <c r="B7" s="47" t="inlineStr">
        <is>
          <t>TECHNIQUE</t>
        </is>
      </c>
      <c r="C7" s="13" t="inlineStr">
        <is>
          <t>Plan réseau PROFINET</t>
        </is>
      </c>
      <c r="D7" s="13" t="inlineStr">
        <is>
          <t>IT</t>
        </is>
      </c>
      <c r="E7" s="16" t="inlineStr"/>
      <c r="F7" s="16" t="inlineStr"/>
      <c r="G7" s="16" t="inlineStr"/>
      <c r="H7" s="16" t="inlineStr"/>
    </row>
    <row r="8">
      <c r="A8" s="13" t="inlineStr">
        <is>
          <t>3</t>
        </is>
      </c>
      <c r="B8" s="47" t="inlineStr">
        <is>
          <t>TECHNIQUE</t>
        </is>
      </c>
      <c r="C8" s="13" t="inlineStr">
        <is>
          <t>Export programme Safety PLC</t>
        </is>
      </c>
      <c r="D8" s="13" t="inlineStr">
        <is>
          <t>Automatisme</t>
        </is>
      </c>
      <c r="E8" s="16" t="inlineStr"/>
      <c r="F8" s="16" t="inlineStr"/>
      <c r="G8" s="16" t="inlineStr"/>
      <c r="H8" s="16" t="inlineStr"/>
    </row>
    <row r="9">
      <c r="A9" s="13" t="inlineStr">
        <is>
          <t>4</t>
        </is>
      </c>
      <c r="B9" s="47" t="inlineStr">
        <is>
          <t>TECHNIQUE</t>
        </is>
      </c>
      <c r="C9" s="13" t="inlineStr">
        <is>
          <t>Configuration zones scanners SICK</t>
        </is>
      </c>
      <c r="D9" s="13" t="inlineStr">
        <is>
          <t>Intégrateur</t>
        </is>
      </c>
      <c r="E9" s="16" t="inlineStr"/>
      <c r="F9" s="16" t="inlineStr"/>
      <c r="G9" s="16" t="inlineStr"/>
      <c r="H9" s="16" t="inlineStr"/>
    </row>
    <row r="10">
      <c r="A10" s="13" t="inlineStr">
        <is>
          <t>5</t>
        </is>
      </c>
      <c r="B10" s="47" t="inlineStr">
        <is>
          <t>TECHNIQUE</t>
        </is>
      </c>
      <c r="C10" s="13" t="inlineStr">
        <is>
          <t>Documentation Fanuc (I/O Map, paramètres)</t>
        </is>
      </c>
      <c r="D10" s="13" t="inlineStr">
        <is>
          <t>Intégrateur/Fanuc</t>
        </is>
      </c>
      <c r="E10" s="16" t="inlineStr"/>
      <c r="F10" s="16" t="inlineStr"/>
      <c r="G10" s="16" t="inlineStr"/>
      <c r="H10" s="16" t="inlineStr"/>
    </row>
    <row r="11">
      <c r="A11" s="13" t="inlineStr">
        <is>
          <t>6</t>
        </is>
      </c>
      <c r="B11" s="47" t="inlineStr">
        <is>
          <t>TECHNIQUE</t>
        </is>
      </c>
      <c r="C11" s="13" t="inlineStr">
        <is>
          <t>Modèle exact source soudage</t>
        </is>
      </c>
      <c r="D11" s="13" t="inlineStr">
        <is>
          <t>Production</t>
        </is>
      </c>
      <c r="E11" s="16" t="inlineStr"/>
      <c r="F11" s="16" t="inlineStr"/>
      <c r="G11" s="16" t="inlineStr"/>
      <c r="H11" s="16" t="inlineStr"/>
    </row>
    <row r="12">
      <c r="A12" s="13" t="inlineStr">
        <is>
          <t>7</t>
        </is>
      </c>
      <c r="B12" s="47" t="inlineStr">
        <is>
          <t>TECHNIQUE</t>
        </is>
      </c>
      <c r="C12" s="13" t="inlineStr">
        <is>
          <t>Interface source soudage (protocole)</t>
        </is>
      </c>
      <c r="D12" s="13" t="inlineStr">
        <is>
          <t>Fournisseur</t>
        </is>
      </c>
      <c r="E12" s="16" t="inlineStr"/>
      <c r="F12" s="16" t="inlineStr"/>
      <c r="G12" s="16" t="inlineStr"/>
      <c r="H12" s="16" t="inlineStr"/>
    </row>
    <row r="13">
      <c r="A13" s="13" t="inlineStr">
        <is>
          <t>8</t>
        </is>
      </c>
      <c r="B13" s="47" t="inlineStr">
        <is>
          <t>TECHNIQUE</t>
        </is>
      </c>
      <c r="C13" s="13" t="inlineStr">
        <is>
          <t>Plan implantation cellule (CAD)</t>
        </is>
      </c>
      <c r="D13" s="13" t="inlineStr">
        <is>
          <t>BE</t>
        </is>
      </c>
      <c r="E13" s="16" t="inlineStr"/>
      <c r="F13" s="16" t="inlineStr"/>
      <c r="G13" s="16" t="inlineStr"/>
      <c r="H13" s="16" t="inlineStr"/>
    </row>
    <row r="14">
      <c r="A14" s="13" t="inlineStr">
        <is>
          <t>9</t>
        </is>
      </c>
      <c r="B14" s="47" t="inlineStr">
        <is>
          <t>TECHNIQUE</t>
        </is>
      </c>
      <c r="C14" s="13" t="inlineStr">
        <is>
          <t>Alimentation électrique disponible</t>
        </is>
      </c>
      <c r="D14" s="13" t="inlineStr">
        <is>
          <t>Maintenance</t>
        </is>
      </c>
      <c r="E14" s="16" t="inlineStr"/>
      <c r="F14" s="16" t="inlineStr"/>
      <c r="G14" s="16" t="inlineStr"/>
      <c r="H14" s="16" t="inlineStr"/>
    </row>
    <row r="15">
      <c r="A15" s="13" t="inlineStr">
        <is>
          <t>10</t>
        </is>
      </c>
      <c r="B15" s="48" t="inlineStr">
        <is>
          <t>HSE</t>
        </is>
      </c>
      <c r="C15" s="13" t="inlineStr">
        <is>
          <t>Historique accidents cellule (3 ans)</t>
        </is>
      </c>
      <c r="D15" s="13" t="inlineStr">
        <is>
          <t>HSE</t>
        </is>
      </c>
      <c r="E15" s="16" t="inlineStr"/>
      <c r="F15" s="16" t="inlineStr"/>
      <c r="G15" s="16" t="inlineStr"/>
      <c r="H15" s="16" t="inlineStr"/>
    </row>
    <row r="16">
      <c r="A16" s="13" t="inlineStr">
        <is>
          <t>11</t>
        </is>
      </c>
      <c r="B16" s="48" t="inlineStr">
        <is>
          <t>HSE</t>
        </is>
      </c>
      <c r="C16" s="13" t="inlineStr">
        <is>
          <t>Historique quasi-incidents (12 mois)</t>
        </is>
      </c>
      <c r="D16" s="13" t="inlineStr">
        <is>
          <t>HSE</t>
        </is>
      </c>
      <c r="E16" s="16" t="inlineStr"/>
      <c r="F16" s="16" t="inlineStr"/>
      <c r="G16" s="16" t="inlineStr"/>
      <c r="H16" s="16" t="inlineStr"/>
    </row>
    <row r="17">
      <c r="A17" s="13" t="inlineStr">
        <is>
          <t>12</t>
        </is>
      </c>
      <c r="B17" s="48" t="inlineStr">
        <is>
          <t>HSE</t>
        </is>
      </c>
      <c r="C17" s="13" t="inlineStr">
        <is>
          <t>Jours perdus (3 ans)</t>
        </is>
      </c>
      <c r="D17" s="13" t="inlineStr">
        <is>
          <t>RH</t>
        </is>
      </c>
      <c r="E17" s="16" t="inlineStr"/>
      <c r="F17" s="16" t="inlineStr"/>
      <c r="G17" s="16" t="inlineStr"/>
      <c r="H17" s="16" t="inlineStr"/>
    </row>
    <row r="18">
      <c r="A18" s="13" t="inlineStr">
        <is>
          <t>13</t>
        </is>
      </c>
      <c r="B18" s="48" t="inlineStr">
        <is>
          <t>HSE</t>
        </is>
      </c>
      <c r="C18" s="13" t="inlineStr">
        <is>
          <t>Analyse de risques existante (DUR)</t>
        </is>
      </c>
      <c r="D18" s="13" t="inlineStr">
        <is>
          <t>HSE</t>
        </is>
      </c>
      <c r="E18" s="16" t="inlineStr"/>
      <c r="F18" s="16" t="inlineStr"/>
      <c r="G18" s="16" t="inlineStr"/>
      <c r="H18" s="16" t="inlineStr"/>
    </row>
    <row r="19">
      <c r="A19" s="13" t="inlineStr">
        <is>
          <t>14</t>
        </is>
      </c>
      <c r="B19" s="48" t="inlineStr">
        <is>
          <t>HSE</t>
        </is>
      </c>
      <c r="C19" s="13" t="inlineStr">
        <is>
          <t>Mesures fumées existantes</t>
        </is>
      </c>
      <c r="D19" s="13" t="inlineStr">
        <is>
          <t>Hygiène indus.</t>
        </is>
      </c>
      <c r="E19" s="16" t="inlineStr"/>
      <c r="F19" s="16" t="inlineStr"/>
      <c r="G19" s="16" t="inlineStr"/>
      <c r="H19" s="16" t="inlineStr"/>
    </row>
    <row r="20">
      <c r="A20" s="13" t="inlineStr">
        <is>
          <t>15</t>
        </is>
      </c>
      <c r="B20" s="48" t="inlineStr">
        <is>
          <t>HSE</t>
        </is>
      </c>
      <c r="C20" s="13" t="inlineStr">
        <is>
          <t>VLEP applicable (métal soudé)</t>
        </is>
      </c>
      <c r="D20" s="13" t="inlineStr">
        <is>
          <t>HSE</t>
        </is>
      </c>
      <c r="E20" s="16" t="inlineStr"/>
      <c r="F20" s="16" t="inlineStr"/>
      <c r="G20" s="16" t="inlineStr"/>
      <c r="H20" s="16" t="inlineStr"/>
    </row>
    <row r="21">
      <c r="A21" s="13" t="inlineStr">
        <is>
          <t>16</t>
        </is>
      </c>
      <c r="B21" s="48" t="inlineStr">
        <is>
          <t>HSE</t>
        </is>
      </c>
      <c r="C21" s="13" t="inlineStr">
        <is>
          <t>Procédure LOTO cellule</t>
        </is>
      </c>
      <c r="D21" s="13" t="inlineStr">
        <is>
          <t>Maintenance/HSE</t>
        </is>
      </c>
      <c r="E21" s="16" t="inlineStr"/>
      <c r="F21" s="16" t="inlineStr"/>
      <c r="G21" s="16" t="inlineStr"/>
      <c r="H21" s="16" t="inlineStr"/>
    </row>
    <row r="22">
      <c r="A22" s="13" t="inlineStr">
        <is>
          <t>17</t>
        </is>
      </c>
      <c r="B22" s="56" t="inlineStr">
        <is>
          <t>PRODUCTION</t>
        </is>
      </c>
      <c r="C22" s="13" t="inlineStr">
        <is>
          <t>OEE historique (6 mois)</t>
        </is>
      </c>
      <c r="D22" s="13" t="inlineStr">
        <is>
          <t>MES/Production</t>
        </is>
      </c>
      <c r="E22" s="16" t="inlineStr"/>
      <c r="F22" s="16" t="inlineStr"/>
      <c r="G22" s="16" t="inlineStr"/>
      <c r="H22" s="16" t="inlineStr"/>
    </row>
    <row r="23">
      <c r="A23" s="13" t="inlineStr">
        <is>
          <t>18</t>
        </is>
      </c>
      <c r="B23" s="56" t="inlineStr">
        <is>
          <t>PRODUCTION</t>
        </is>
      </c>
      <c r="C23" s="13" t="inlineStr">
        <is>
          <t>Heures production/an cellule</t>
        </is>
      </c>
      <c r="D23" s="13" t="inlineStr">
        <is>
          <t>Production</t>
        </is>
      </c>
      <c r="E23" s="16" t="inlineStr"/>
      <c r="F23" s="16" t="inlineStr"/>
      <c r="G23" s="16" t="inlineStr"/>
      <c r="H23" s="16" t="inlineStr"/>
    </row>
    <row r="24">
      <c r="A24" s="13" t="inlineStr">
        <is>
          <t>19</t>
        </is>
      </c>
      <c r="B24" s="56" t="inlineStr">
        <is>
          <t>PRODUCTION</t>
        </is>
      </c>
      <c r="C24" s="13" t="inlineStr">
        <is>
          <t>Temps cycle moyen</t>
        </is>
      </c>
      <c r="D24" s="13" t="inlineStr">
        <is>
          <t>Production</t>
        </is>
      </c>
      <c r="E24" s="16" t="inlineStr"/>
      <c r="F24" s="16" t="inlineStr"/>
      <c r="G24" s="16" t="inlineStr"/>
      <c r="H24" s="16" t="inlineStr"/>
    </row>
    <row r="25">
      <c r="A25" s="13" t="inlineStr">
        <is>
          <t>20</t>
        </is>
      </c>
      <c r="B25" s="56" t="inlineStr">
        <is>
          <t>PRODUCTION</t>
        </is>
      </c>
      <c r="C25" s="13" t="inlineStr">
        <is>
          <t>Programmes robot utilisés</t>
        </is>
      </c>
      <c r="D25" s="13" t="inlineStr">
        <is>
          <t>Production</t>
        </is>
      </c>
      <c r="E25" s="16" t="inlineStr"/>
      <c r="F25" s="16" t="inlineStr"/>
      <c r="G25" s="16" t="inlineStr"/>
      <c r="H25" s="16" t="inlineStr"/>
    </row>
    <row r="26">
      <c r="A26" s="13" t="inlineStr">
        <is>
          <t>21</t>
        </is>
      </c>
      <c r="B26" s="56" t="inlineStr">
        <is>
          <t>PRODUCTION</t>
        </is>
      </c>
      <c r="C26" s="13" t="inlineStr">
        <is>
          <t>Types pièces soudées</t>
        </is>
      </c>
      <c r="D26" s="13" t="inlineStr">
        <is>
          <t>Production</t>
        </is>
      </c>
      <c r="E26" s="16" t="inlineStr"/>
      <c r="F26" s="16" t="inlineStr"/>
      <c r="G26" s="16" t="inlineStr"/>
      <c r="H26" s="16" t="inlineStr"/>
    </row>
    <row r="27">
      <c r="A27" s="13" t="inlineStr">
        <is>
          <t>22</t>
        </is>
      </c>
      <c r="B27" s="57" t="inlineStr">
        <is>
          <t>FINANCE</t>
        </is>
      </c>
      <c r="C27" s="13" t="inlineStr">
        <is>
          <t>Coût moyen jour perdu</t>
        </is>
      </c>
      <c r="D27" s="13" t="inlineStr">
        <is>
          <t>RH/Finance</t>
        </is>
      </c>
      <c r="E27" s="16" t="inlineStr"/>
      <c r="F27" s="16" t="inlineStr"/>
      <c r="G27" s="16" t="inlineStr"/>
      <c r="H27" s="16" t="inlineStr"/>
    </row>
    <row r="28">
      <c r="A28" s="13" t="inlineStr">
        <is>
          <t>23</t>
        </is>
      </c>
      <c r="B28" s="57" t="inlineStr">
        <is>
          <t>FINANCE</t>
        </is>
      </c>
      <c r="C28" s="13" t="inlineStr">
        <is>
          <t>Coût moyen sinistre</t>
        </is>
      </c>
      <c r="D28" s="13" t="inlineStr">
        <is>
          <t>Finance/Assureur</t>
        </is>
      </c>
      <c r="E28" s="16" t="inlineStr"/>
      <c r="F28" s="16" t="inlineStr"/>
      <c r="G28" s="16" t="inlineStr"/>
      <c r="H28" s="16" t="inlineStr"/>
    </row>
    <row r="29">
      <c r="A29" s="13" t="inlineStr">
        <is>
          <t>24</t>
        </is>
      </c>
      <c r="B29" s="57" t="inlineStr">
        <is>
          <t>FINANCE</t>
        </is>
      </c>
      <c r="C29" s="13" t="inlineStr">
        <is>
          <t>Valeur production horaire</t>
        </is>
      </c>
      <c r="D29" s="13" t="inlineStr">
        <is>
          <t>Finance</t>
        </is>
      </c>
      <c r="E29" s="16" t="inlineStr"/>
      <c r="F29" s="16" t="inlineStr"/>
      <c r="G29" s="16" t="inlineStr"/>
      <c r="H29" s="16" t="inlineStr"/>
    </row>
    <row r="30">
      <c r="A30" s="13" t="inlineStr">
        <is>
          <t>25</t>
        </is>
      </c>
      <c r="B30" s="57" t="inlineStr">
        <is>
          <t>FINANCE</t>
        </is>
      </c>
      <c r="C30" s="13" t="inlineStr">
        <is>
          <t>Prime SST annuelle</t>
        </is>
      </c>
      <c r="D30" s="13" t="inlineStr">
        <is>
          <t>Finance</t>
        </is>
      </c>
      <c r="E30" s="16" t="inlineStr"/>
      <c r="F30" s="16" t="inlineStr"/>
      <c r="G30" s="16" t="inlineStr"/>
      <c r="H30" s="16" t="inlineStr"/>
    </row>
    <row r="31">
      <c r="A31" s="13" t="inlineStr">
        <is>
          <t>26</t>
        </is>
      </c>
      <c r="B31" s="58" t="inlineStr">
        <is>
          <t>RH</t>
        </is>
      </c>
      <c r="C31" s="13" t="inlineStr">
        <is>
          <t>Liste opérateurs cellule</t>
        </is>
      </c>
      <c r="D31" s="13" t="inlineStr">
        <is>
          <t>RH</t>
        </is>
      </c>
      <c r="E31" s="16" t="inlineStr"/>
      <c r="F31" s="16" t="inlineStr"/>
      <c r="G31" s="16" t="inlineStr"/>
      <c r="H31" s="16" t="inlineStr"/>
    </row>
    <row r="32">
      <c r="A32" s="13" t="inlineStr">
        <is>
          <t>27</t>
        </is>
      </c>
      <c r="B32" s="58" t="inlineStr">
        <is>
          <t>RH</t>
        </is>
      </c>
      <c r="C32" s="13" t="inlineStr">
        <is>
          <t>Planning shifts</t>
        </is>
      </c>
      <c r="D32" s="13" t="inlineStr">
        <is>
          <t>Production/RH</t>
        </is>
      </c>
      <c r="E32" s="16" t="inlineStr"/>
      <c r="F32" s="16" t="inlineStr"/>
      <c r="G32" s="16" t="inlineStr"/>
      <c r="H32" s="16" t="inlineStr"/>
    </row>
    <row r="33">
      <c r="A33" s="13" t="inlineStr">
        <is>
          <t>28</t>
        </is>
      </c>
      <c r="B33" s="58" t="inlineStr">
        <is>
          <t>RH</t>
        </is>
      </c>
      <c r="C33" s="13" t="inlineStr">
        <is>
          <t>Formations existantes (soudage, sécurité)</t>
        </is>
      </c>
      <c r="D33" s="13" t="inlineStr">
        <is>
          <t>RH/Formation</t>
        </is>
      </c>
      <c r="E33" s="16" t="inlineStr"/>
      <c r="F33" s="16" t="inlineStr"/>
      <c r="G33" s="16" t="inlineStr"/>
      <c r="H33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2025-12-15T22:19:09Z</dcterms:created>
  <dcterms:modified xmlns:dcterms="http://purl.org/dc/terms/" xmlns:xsi="http://www.w3.org/2001/XMLSchema-instance" xsi:type="dcterms:W3CDTF">2025-12-15T22:19:09Z</dcterms:modified>
</cp:coreProperties>
</file>