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DataDictionary_KPI" sheetId="1" state="visible" r:id="rId1"/>
    <sheet xmlns:r="http://schemas.openxmlformats.org/officeDocument/2006/relationships" name="2_Hypotheses" sheetId="2" state="visible" r:id="rId2"/>
    <sheet xmlns:r="http://schemas.openxmlformats.org/officeDocument/2006/relationships" name="3_Modele_ROI" sheetId="3" state="visible" r:id="rId3"/>
    <sheet xmlns:r="http://schemas.openxmlformats.org/officeDocument/2006/relationships" name="4_Synthese_Scenarios" sheetId="4" state="visible" r:id="rId4"/>
    <sheet xmlns:r="http://schemas.openxmlformats.org/officeDocument/2006/relationships" name="5_Dashboard_CFO" sheetId="5" state="visible" r:id="rId5"/>
    <sheet xmlns:r="http://schemas.openxmlformats.org/officeDocument/2006/relationships" name="6_Sensibilite" sheetId="6" state="visible" r:id="rId6"/>
    <sheet xmlns:r="http://schemas.openxmlformats.org/officeDocument/2006/relationships" name="7_Checklist_Baselin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1F4E79"/>
      <sz val="14"/>
    </font>
    <font>
      <b val="1"/>
      <sz val="12"/>
    </font>
    <font>
      <color rgb="000000FF"/>
    </font>
    <font>
      <b val="1"/>
      <color rgb="00C00000"/>
      <sz val="12"/>
    </font>
    <font>
      <b val="1"/>
      <color rgb="002E75B6"/>
      <sz val="12"/>
    </font>
    <font>
      <b val="1"/>
      <color rgb="0070AD47"/>
      <sz val="12"/>
    </font>
    <font>
      <b val="1"/>
      <color rgb="001F4E79"/>
      <sz val="16"/>
    </font>
    <font>
      <b val="1"/>
      <sz val="14"/>
    </font>
    <font>
      <color rgb="002E75B6"/>
    </font>
    <font>
      <b val="1"/>
      <sz val="11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F8CBAD"/>
      </patternFill>
    </fill>
    <fill>
      <patternFill patternType="solid">
        <fgColor rgb="00D9E1F2"/>
      </patternFill>
    </fill>
    <fill>
      <patternFill patternType="solid">
        <fgColor rgb="00FFFF9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3" fillId="0" borderId="0" pivotButton="0" quotePrefix="0" xfId="0"/>
    <xf numFmtId="0" fontId="4" fillId="3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5" fillId="7" borderId="1" pivotButton="0" quotePrefix="0" xfId="0"/>
    <xf numFmtId="0" fontId="4" fillId="4" borderId="0" pivotButton="0" quotePrefix="0" xfId="0"/>
    <xf numFmtId="0" fontId="5" fillId="0" borderId="1" applyAlignment="1" pivotButton="0" quotePrefix="0" xfId="0">
      <alignment horizontal="center"/>
    </xf>
    <xf numFmtId="0" fontId="4" fillId="6" borderId="0" pivotButton="0" quotePrefix="0" xfId="0"/>
    <xf numFmtId="164" fontId="5" fillId="0" borderId="1" pivotButton="0" quotePrefix="0" xfId="0"/>
    <xf numFmtId="0" fontId="2" fillId="6" borderId="1" pivotButton="0" quotePrefix="0" xfId="0"/>
    <xf numFmtId="0" fontId="6" fillId="0" borderId="0" pivotButton="0" quotePrefix="0" xfId="0"/>
    <xf numFmtId="164" fontId="0" fillId="0" borderId="1" pivotButton="0" quotePrefix="0" xfId="0"/>
    <xf numFmtId="0" fontId="2" fillId="0" borderId="1" pivotButton="0" quotePrefix="0" xfId="0"/>
    <xf numFmtId="0" fontId="7" fillId="0" borderId="0" pivotButton="0" quotePrefix="0" xfId="0"/>
    <xf numFmtId="0" fontId="2" fillId="4" borderId="1" pivotButton="0" quotePrefix="0" xfId="0"/>
    <xf numFmtId="0" fontId="8" fillId="0" borderId="0" pivotButton="0" quotePrefix="0" xfId="0"/>
    <xf numFmtId="0" fontId="2" fillId="8" borderId="1" pivotButton="0" quotePrefix="0" xfId="0"/>
    <xf numFmtId="164" fontId="0" fillId="9" borderId="1" pivotButton="0" quotePrefix="0" xfId="0"/>
    <xf numFmtId="164" fontId="0" fillId="4" borderId="1" pivotButton="0" quotePrefix="0" xfId="0"/>
    <xf numFmtId="164" fontId="0" fillId="8" borderId="1" pivotButton="0" quotePrefix="0" xfId="0"/>
    <xf numFmtId="0" fontId="0" fillId="9" borderId="1" pivotButton="0" quotePrefix="0" xfId="0"/>
    <xf numFmtId="0" fontId="0" fillId="4" borderId="1" pivotButton="0" quotePrefix="0" xfId="0"/>
    <xf numFmtId="0" fontId="0" fillId="8" borderId="1" pivotButton="0" quotePrefix="0" xfId="0"/>
    <xf numFmtId="0" fontId="9" fillId="0" borderId="0" pivotButton="0" quotePrefix="0" xfId="0"/>
    <xf numFmtId="0" fontId="10" fillId="0" borderId="0" pivotButton="0" quotePrefix="0" xfId="0"/>
    <xf numFmtId="0" fontId="7" fillId="0" borderId="1" applyAlignment="1" pivotButton="0" quotePrefix="0" xfId="0">
      <alignment horizontal="center"/>
    </xf>
    <xf numFmtId="0" fontId="4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0" fillId="10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Cash Flow Cumulé - Projection 36 mois</a:t>
            </a:r>
          </a:p>
        </rich>
      </tx>
    </title>
    <plotArea>
      <lineChart>
        <grouping val="standard"/>
        <ser>
          <idx val="0"/>
          <order val="0"/>
          <tx>
            <strRef>
              <f>'5_Dashboard_CFO'!B31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'5_Dashboard_CFO'!$A$32:$A$38</f>
            </numRef>
          </cat>
          <val>
            <numRef>
              <f>'5_Dashboard_CFO'!$B$32:$B$38</f>
            </numRef>
          </val>
        </ser>
        <ser>
          <idx val="1"/>
          <order val="1"/>
          <tx>
            <strRef>
              <f>'5_Dashboard_CFO'!C31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'5_Dashboard_CFO'!$A$32:$A$38</f>
            </numRef>
          </cat>
          <val>
            <numRef>
              <f>'5_Dashboard_CFO'!$C$32:$C$38</f>
            </numRef>
          </val>
        </ser>
        <ser>
          <idx val="2"/>
          <order val="2"/>
          <tx>
            <strRef>
              <f>'5_Dashboard_CFO'!D31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'5_Dashboard_CFO'!$A$32:$A$38</f>
            </numRef>
          </cat>
          <val>
            <numRef>
              <f>'5_Dashboard_CFO'!$D$32:$D$38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Période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Cash Flow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Répartition des économies (Scénario Nominal)</a:t>
            </a:r>
          </a:p>
        </rich>
      </tx>
    </title>
    <plotArea>
      <pieChart>
        <varyColors val="1"/>
        <ser>
          <idx val="0"/>
          <order val="0"/>
          <tx>
            <strRef>
              <f>'5_Dashboard_CFO'!G31</f>
            </strRef>
          </tx>
          <spPr>
            <a:ln xmlns:a="http://schemas.openxmlformats.org/drawingml/2006/main">
              <a:prstDash val="solid"/>
            </a:ln>
          </spPr>
          <cat>
            <numRef>
              <f>'5_Dashboard_CFO'!$F$32:$F$35</f>
            </numRef>
          </cat>
          <val>
            <numRef>
              <f>'5_Dashboard_CFO'!$G$32:$G$35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41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41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45" customWidth="1" min="4" max="4"/>
    <col width="12" customWidth="1" min="5" max="5"/>
    <col width="35" customWidth="1" min="6" max="6"/>
    <col width="15" customWidth="1" min="7" max="7"/>
    <col width="20" customWidth="1" min="8" max="8"/>
    <col width="18" customWidth="1" min="9" max="9"/>
    <col width="20" customWidth="1" min="10" max="10"/>
    <col width="10" customWidth="1" min="11" max="11"/>
  </cols>
  <sheetData>
    <row r="1" ht="35" customHeight="1">
      <c r="A1" s="1" t="inlineStr">
        <is>
          <t>ID KPI</t>
        </is>
      </c>
      <c r="B1" s="1" t="inlineStr">
        <is>
          <t>Catégorie</t>
        </is>
      </c>
      <c r="C1" s="1" t="inlineStr">
        <is>
          <t>Nom KPI</t>
        </is>
      </c>
      <c r="D1" s="1" t="inlineStr">
        <is>
          <t>Description</t>
        </is>
      </c>
      <c r="E1" s="1" t="inlineStr">
        <is>
          <t>Unité</t>
        </is>
      </c>
      <c r="F1" s="1" t="inlineStr">
        <is>
          <t>Formule/Calcul</t>
        </is>
      </c>
      <c r="G1" s="1" t="inlineStr">
        <is>
          <t>Fréquence</t>
        </is>
      </c>
      <c r="H1" s="1" t="inlineStr">
        <is>
          <t>Source données</t>
        </is>
      </c>
      <c r="I1" s="1" t="inlineStr">
        <is>
          <t>Baseline requis</t>
        </is>
      </c>
      <c r="J1" s="1" t="inlineStr">
        <is>
          <t>Cible Année 1</t>
        </is>
      </c>
      <c r="K1" s="1" t="inlineStr">
        <is>
          <t>Owner</t>
        </is>
      </c>
    </row>
    <row r="2">
      <c r="A2" s="2" t="inlineStr">
        <is>
          <t>BL-01</t>
        </is>
      </c>
      <c r="B2" s="3" t="inlineStr">
        <is>
          <t>BASELINE</t>
        </is>
      </c>
      <c r="C2" s="2" t="inlineStr">
        <is>
          <t>Accidents avec arrêt (cellule)</t>
        </is>
      </c>
      <c r="D2" s="2" t="inlineStr">
        <is>
          <t>Nombre d'accidents avec arrêt de travail sur la cellule/année</t>
        </is>
      </c>
      <c r="E2" s="2" t="inlineStr">
        <is>
          <t>#/an</t>
        </is>
      </c>
      <c r="F2" s="2" t="inlineStr">
        <is>
          <t>Comptage registre accidents</t>
        </is>
      </c>
      <c r="G2" s="2" t="inlineStr">
        <is>
          <t>Annuelle</t>
        </is>
      </c>
      <c r="H2" s="2" t="inlineStr">
        <is>
          <t>Registre HSE / CNESST</t>
        </is>
      </c>
      <c r="I2" s="2" t="inlineStr">
        <is>
          <t>OUI - historique 3 ans</t>
        </is>
      </c>
      <c r="J2" s="2" t="inlineStr">
        <is>
          <t>Réduction 20%</t>
        </is>
      </c>
      <c r="K2" s="2" t="inlineStr">
        <is>
          <t>HSE</t>
        </is>
      </c>
    </row>
    <row r="3">
      <c r="A3" s="2" t="inlineStr">
        <is>
          <t>BL-02</t>
        </is>
      </c>
      <c r="B3" s="3" t="inlineStr">
        <is>
          <t>BASELINE</t>
        </is>
      </c>
      <c r="C3" s="2" t="inlineStr">
        <is>
          <t>Quasi-incidents (cellule)</t>
        </is>
      </c>
      <c r="D3" s="2" t="inlineStr">
        <is>
          <t>Événements sans blessure mais potentiel accident</t>
        </is>
      </c>
      <c r="E3" s="2" t="inlineStr">
        <is>
          <t>#/an</t>
        </is>
      </c>
      <c r="F3" s="2" t="inlineStr">
        <is>
          <t>Comptage déclarations</t>
        </is>
      </c>
      <c r="G3" s="2" t="inlineStr">
        <is>
          <t>Mensuelle→annuelle</t>
        </is>
      </c>
      <c r="H3" s="2" t="inlineStr">
        <is>
          <t>Registre QI</t>
        </is>
      </c>
      <c r="I3" s="2" t="inlineStr">
        <is>
          <t>OUI - historique 12 mois</t>
        </is>
      </c>
      <c r="J3" s="2" t="inlineStr">
        <is>
          <t>Augmentation déclarations puis ↓</t>
        </is>
      </c>
      <c r="K3" s="2" t="inlineStr">
        <is>
          <t>HSE</t>
        </is>
      </c>
    </row>
    <row r="4">
      <c r="A4" s="2" t="inlineStr">
        <is>
          <t>BL-03</t>
        </is>
      </c>
      <c r="B4" s="3" t="inlineStr">
        <is>
          <t>BASELINE</t>
        </is>
      </c>
      <c r="C4" s="2" t="inlineStr">
        <is>
          <t>Jours perdus (cellule)</t>
        </is>
      </c>
      <c r="D4" s="2" t="inlineStr">
        <is>
          <t>Jours d'absence pour blessures liées à la cellule</t>
        </is>
      </c>
      <c r="E4" s="2" t="inlineStr">
        <is>
          <t>jours/an</t>
        </is>
      </c>
      <c r="F4" s="2" t="inlineStr">
        <is>
          <t>Σ jours arrêt par accident</t>
        </is>
      </c>
      <c r="G4" s="2" t="inlineStr">
        <is>
          <t>Annuelle</t>
        </is>
      </c>
      <c r="H4" s="2" t="inlineStr">
        <is>
          <t>RH + HSE</t>
        </is>
      </c>
      <c r="I4" s="2" t="inlineStr">
        <is>
          <t>OUI - historique 3 ans</t>
        </is>
      </c>
      <c r="J4" s="2" t="inlineStr">
        <is>
          <t>Réduction 25%</t>
        </is>
      </c>
      <c r="K4" s="2" t="inlineStr">
        <is>
          <t>HSE/RH</t>
        </is>
      </c>
    </row>
    <row r="5">
      <c r="A5" s="2" t="inlineStr">
        <is>
          <t>BL-04</t>
        </is>
      </c>
      <c r="B5" s="3" t="inlineStr">
        <is>
          <t>BASELINE</t>
        </is>
      </c>
      <c r="C5" s="2" t="inlineStr">
        <is>
          <t>Coût moyen sinistre</t>
        </is>
      </c>
      <c r="D5" s="2" t="inlineStr">
        <is>
          <t>Coût total moyen par accident (indemnités + soins + admin)</t>
        </is>
      </c>
      <c r="E5" s="2" t="inlineStr">
        <is>
          <t>$/sinistre</t>
        </is>
      </c>
      <c r="F5" s="2" t="inlineStr">
        <is>
          <t>(Σ coûts sinistres) / nb sinistres</t>
        </is>
      </c>
      <c r="G5" s="2" t="inlineStr">
        <is>
          <t>Annuelle</t>
        </is>
      </c>
      <c r="H5" s="2" t="inlineStr">
        <is>
          <t>Finance + Assureur</t>
        </is>
      </c>
      <c r="I5" s="2" t="inlineStr">
        <is>
          <t>OUI</t>
        </is>
      </c>
      <c r="J5" s="2" t="inlineStr">
        <is>
          <t>N/A (paramètre)</t>
        </is>
      </c>
      <c r="K5" s="2" t="inlineStr">
        <is>
          <t>Finance</t>
        </is>
      </c>
    </row>
    <row r="6">
      <c r="A6" s="2" t="inlineStr">
        <is>
          <t>BL-05</t>
        </is>
      </c>
      <c r="B6" s="3" t="inlineStr">
        <is>
          <t>BASELINE</t>
        </is>
      </c>
      <c r="C6" s="2" t="inlineStr">
        <is>
          <t>OEE cellule</t>
        </is>
      </c>
      <c r="D6" s="2" t="inlineStr">
        <is>
          <t>Overall Equipment Effectiveness de la cellule</t>
        </is>
      </c>
      <c r="E6" s="2" t="inlineStr">
        <is>
          <t>%</t>
        </is>
      </c>
      <c r="F6" s="2" t="inlineStr">
        <is>
          <t>Disponibilité × Performance × Qualité</t>
        </is>
      </c>
      <c r="G6" s="2" t="inlineStr">
        <is>
          <t>Hebdo/Mensuelle</t>
        </is>
      </c>
      <c r="H6" s="2" t="inlineStr">
        <is>
          <t>MES / Production</t>
        </is>
      </c>
      <c r="I6" s="2" t="inlineStr">
        <is>
          <t>OUI - 6 mois</t>
        </is>
      </c>
      <c r="J6" s="2" t="inlineStr">
        <is>
          <t>Amélioration +2-5 pts</t>
        </is>
      </c>
      <c r="K6" s="2" t="inlineStr">
        <is>
          <t>Production</t>
        </is>
      </c>
    </row>
    <row r="7">
      <c r="A7" s="2" t="inlineStr">
        <is>
          <t>BL-06</t>
        </is>
      </c>
      <c r="B7" s="3" t="inlineStr">
        <is>
          <t>BASELINE</t>
        </is>
      </c>
      <c r="C7" s="2" t="inlineStr">
        <is>
          <t>Arrêts non planifiés</t>
        </is>
      </c>
      <c r="D7" s="2" t="inlineStr">
        <is>
          <t>Nombre d'arrêts non planifiés (pannes, incidents)</t>
        </is>
      </c>
      <c r="E7" s="2" t="inlineStr">
        <is>
          <t>#/mois</t>
        </is>
      </c>
      <c r="F7" s="2" t="inlineStr">
        <is>
          <t>Comptage MES</t>
        </is>
      </c>
      <c r="G7" s="2" t="inlineStr">
        <is>
          <t>Mensuelle</t>
        </is>
      </c>
      <c r="H7" s="2" t="inlineStr">
        <is>
          <t>MES / Maintenance</t>
        </is>
      </c>
      <c r="I7" s="2" t="inlineStr">
        <is>
          <t>OUI - 12 mois</t>
        </is>
      </c>
      <c r="J7" s="2" t="inlineStr">
        <is>
          <t>Réduction 15%</t>
        </is>
      </c>
      <c r="K7" s="2" t="inlineStr">
        <is>
          <t>Maintenance</t>
        </is>
      </c>
    </row>
    <row r="8">
      <c r="A8" s="2" t="inlineStr">
        <is>
          <t>BL-07</t>
        </is>
      </c>
      <c r="B8" s="3" t="inlineStr">
        <is>
          <t>BASELINE</t>
        </is>
      </c>
      <c r="C8" s="2" t="inlineStr">
        <is>
          <t>Temps exposition fumées &gt;80% VLEP</t>
        </is>
      </c>
      <c r="D8" s="2" t="inlineStr">
        <is>
          <t>Temps cumulé avec concentration &gt;80% VLEP (si soudage)</t>
        </is>
      </c>
      <c r="E8" s="2" t="inlineStr">
        <is>
          <t>min/shift</t>
        </is>
      </c>
      <c r="F8" s="2" t="inlineStr">
        <is>
          <t>Intégration temps si conc&gt;seuil</t>
        </is>
      </c>
      <c r="G8" s="2" t="inlineStr">
        <is>
          <t>Par shift</t>
        </is>
      </c>
      <c r="H8" s="2" t="inlineStr">
        <is>
          <t>Capteur fumées</t>
        </is>
      </c>
      <c r="I8" s="2" t="inlineStr">
        <is>
          <t>OUI si soudage</t>
        </is>
      </c>
      <c r="J8" s="2" t="inlineStr">
        <is>
          <t>Réduction 50%</t>
        </is>
      </c>
      <c r="K8" s="2" t="inlineStr">
        <is>
          <t>HSE</t>
        </is>
      </c>
    </row>
    <row r="9">
      <c r="A9" s="2" t="inlineStr">
        <is>
          <t>BL-08</t>
        </is>
      </c>
      <c r="B9" s="3" t="inlineStr">
        <is>
          <t>BASELINE</t>
        </is>
      </c>
      <c r="C9" s="2" t="inlineStr">
        <is>
          <t>Prime/cotisation SST annuelle</t>
        </is>
      </c>
      <c r="D9" s="2" t="inlineStr">
        <is>
          <t>Cotisation annuelle SST/CNESST ou prime assurance AT</t>
        </is>
      </c>
      <c r="E9" s="2" t="inlineStr">
        <is>
          <t>$/an</t>
        </is>
      </c>
      <c r="F9" s="2" t="inlineStr">
        <is>
          <t>Montant facturé</t>
        </is>
      </c>
      <c r="G9" s="2" t="inlineStr">
        <is>
          <t>Annuelle</t>
        </is>
      </c>
      <c r="H9" s="2" t="inlineStr">
        <is>
          <t>Finance / Assureur</t>
        </is>
      </c>
      <c r="I9" s="2" t="inlineStr">
        <is>
          <t>OUI</t>
        </is>
      </c>
      <c r="J9" s="2" t="inlineStr">
        <is>
          <t>Baisse 5-10% (An 2-3)</t>
        </is>
      </c>
      <c r="K9" s="2" t="inlineStr">
        <is>
          <t>Finance</t>
        </is>
      </c>
    </row>
    <row r="10">
      <c r="A10" s="2" t="inlineStr">
        <is>
          <t>LD-01</t>
        </is>
      </c>
      <c r="B10" s="4" t="inlineStr">
        <is>
          <t>LEADING</t>
        </is>
      </c>
      <c r="C10" s="2" t="inlineStr">
        <is>
          <t>Arrêts préventifs RoboSafe</t>
        </is>
      </c>
      <c r="D10" s="2" t="inlineStr">
        <is>
          <t>Nombre d'arrêts déclenchés par RoboSafe (SLOW/STOP)</t>
        </is>
      </c>
      <c r="E10" s="2" t="inlineStr">
        <is>
          <t>#/jour ou #/1000h</t>
        </is>
      </c>
      <c r="F10" s="2" t="inlineStr">
        <is>
          <t>Comptage logs RoboSafe par type</t>
        </is>
      </c>
      <c r="G10" s="2" t="inlineStr">
        <is>
          <t>Temps réel→quotidien</t>
        </is>
      </c>
      <c r="H10" s="2" t="inlineStr">
        <is>
          <t>RoboSafe logs</t>
        </is>
      </c>
      <c r="I10" s="2" t="inlineStr">
        <is>
          <t>Non</t>
        </is>
      </c>
      <c r="J10" s="2" t="inlineStr">
        <is>
          <t>Établir baseline mois 1</t>
        </is>
      </c>
      <c r="K10" s="2" t="inlineStr">
        <is>
          <t>HSE</t>
        </is>
      </c>
    </row>
    <row r="11">
      <c r="A11" s="2" t="inlineStr">
        <is>
          <t>LD-02</t>
        </is>
      </c>
      <c r="B11" s="4" t="inlineStr">
        <is>
          <t>LEADING</t>
        </is>
      </c>
      <c r="C11" s="2" t="inlineStr">
        <is>
          <t>Arrêts préventifs justifiés</t>
        </is>
      </c>
      <c r="D11" s="2" t="inlineStr">
        <is>
          <t>Arrêts confirmés pertinents après revue HSE</t>
        </is>
      </c>
      <c r="E11" s="2" t="inlineStr">
        <is>
          <t>#/semaine + %</t>
        </is>
      </c>
      <c r="F11" s="2" t="inlineStr">
        <is>
          <t>(Arrêts justifiés / Arrêts totaux) × 100</t>
        </is>
      </c>
      <c r="G11" s="2" t="inlineStr">
        <is>
          <t>Hebdomadaire</t>
        </is>
      </c>
      <c r="H11" s="2" t="inlineStr">
        <is>
          <t>Revue HSE + logs</t>
        </is>
      </c>
      <c r="I11" s="2" t="inlineStr">
        <is>
          <t>Non</t>
        </is>
      </c>
      <c r="J11" s="2" t="inlineStr">
        <is>
          <t>&gt;80% arrêts justifiés</t>
        </is>
      </c>
      <c r="K11" s="2" t="inlineStr">
        <is>
          <t>HSE</t>
        </is>
      </c>
    </row>
    <row r="12">
      <c r="A12" s="2" t="inlineStr">
        <is>
          <t>LD-03</t>
        </is>
      </c>
      <c r="B12" s="4" t="inlineStr">
        <is>
          <t>LEADING</t>
        </is>
      </c>
      <c r="C12" s="2" t="inlineStr">
        <is>
          <t>Taux faux positifs</t>
        </is>
      </c>
      <c r="D12" s="2" t="inlineStr">
        <is>
          <t>Arrêts non justifiés (fausses alarmes)</t>
        </is>
      </c>
      <c r="E12" s="2" t="inlineStr">
        <is>
          <t>%</t>
        </is>
      </c>
      <c r="F12" s="2" t="inlineStr">
        <is>
          <t>(Faux positifs / Arrêts totaux) × 100</t>
        </is>
      </c>
      <c r="G12" s="2" t="inlineStr">
        <is>
          <t>Hebdomadaire</t>
        </is>
      </c>
      <c r="H12" s="2" t="inlineStr">
        <is>
          <t>Revue HSE</t>
        </is>
      </c>
      <c r="I12" s="2" t="inlineStr">
        <is>
          <t>Non</t>
        </is>
      </c>
      <c r="J12" s="2" t="inlineStr">
        <is>
          <t>&lt;20%</t>
        </is>
      </c>
      <c r="K12" s="2" t="inlineStr">
        <is>
          <t>HSE</t>
        </is>
      </c>
    </row>
    <row r="13">
      <c r="A13" s="2" t="inlineStr">
        <is>
          <t>LD-04</t>
        </is>
      </c>
      <c r="B13" s="4" t="inlineStr">
        <is>
          <t>LEADING</t>
        </is>
      </c>
      <c r="C13" s="2" t="inlineStr">
        <is>
          <t>Intrusions zone protégée</t>
        </is>
      </c>
      <c r="D13" s="2" t="inlineStr">
        <is>
          <t>Nombre d'intrusions détectées en zone protégée</t>
        </is>
      </c>
      <c r="E13" s="2" t="inlineStr">
        <is>
          <t>#/jour</t>
        </is>
      </c>
      <c r="F13" s="2" t="inlineStr">
        <is>
          <t>Comptage événements scanner/vision</t>
        </is>
      </c>
      <c r="G13" s="2" t="inlineStr">
        <is>
          <t>Quotidien</t>
        </is>
      </c>
      <c r="H13" s="2" t="inlineStr">
        <is>
          <t>RoboSafe logs</t>
        </is>
      </c>
      <c r="I13" s="2" t="inlineStr">
        <is>
          <t>Non</t>
        </is>
      </c>
      <c r="J13" s="2" t="inlineStr">
        <is>
          <t>Tendance décroissante</t>
        </is>
      </c>
      <c r="K13" s="2" t="inlineStr">
        <is>
          <t>HSE</t>
        </is>
      </c>
    </row>
    <row r="14">
      <c r="A14" s="2" t="inlineStr">
        <is>
          <t>LD-05</t>
        </is>
      </c>
      <c r="B14" s="4" t="inlineStr">
        <is>
          <t>LEADING</t>
        </is>
      </c>
      <c r="C14" s="2" t="inlineStr">
        <is>
          <t>Overrides sécurité</t>
        </is>
      </c>
      <c r="D14" s="2" t="inlineStr">
        <is>
          <t>Nombre de contournements/désactivations sécurité</t>
        </is>
      </c>
      <c r="E14" s="2" t="inlineStr">
        <is>
          <t>#/semaine</t>
        </is>
      </c>
      <c r="F14" s="2" t="inlineStr">
        <is>
          <t>Comptage avec motif obligatoire</t>
        </is>
      </c>
      <c r="G14" s="2" t="inlineStr">
        <is>
          <t>Hebdomadaire</t>
        </is>
      </c>
      <c r="H14" s="2" t="inlineStr">
        <is>
          <t>RoboSafe logs</t>
        </is>
      </c>
      <c r="I14" s="2" t="inlineStr">
        <is>
          <t>Non</t>
        </is>
      </c>
      <c r="J14" s="2" t="inlineStr">
        <is>
          <t>&lt;3/semaine</t>
        </is>
      </c>
      <c r="K14" s="2" t="inlineStr">
        <is>
          <t>HSE</t>
        </is>
      </c>
    </row>
    <row r="15">
      <c r="A15" s="2" t="inlineStr">
        <is>
          <t>LD-06</t>
        </is>
      </c>
      <c r="B15" s="4" t="inlineStr">
        <is>
          <t>LEADING</t>
        </is>
      </c>
      <c r="C15" s="2" t="inlineStr">
        <is>
          <t>Distance minimale humain-robot</t>
        </is>
      </c>
      <c r="D15" s="2" t="inlineStr">
        <is>
          <t>Distance minimale moyenne détectée</t>
        </is>
      </c>
      <c r="E15" s="2" t="inlineStr">
        <is>
          <t>mm (moyenne/min)</t>
        </is>
      </c>
      <c r="F15" s="2" t="inlineStr">
        <is>
          <t>Statistiques données vision/scanner</t>
        </is>
      </c>
      <c r="G15" s="2" t="inlineStr">
        <is>
          <t>Quotidien</t>
        </is>
      </c>
      <c r="H15" s="2" t="inlineStr">
        <is>
          <t>RoboSafe analytics</t>
        </is>
      </c>
      <c r="I15" s="2" t="inlineStr">
        <is>
          <t>Non</t>
        </is>
      </c>
      <c r="J15" s="2" t="inlineStr">
        <is>
          <t>&gt;S_min calculé</t>
        </is>
      </c>
      <c r="K15" s="2" t="inlineStr">
        <is>
          <t>HSE</t>
        </is>
      </c>
    </row>
    <row r="16">
      <c r="A16" s="2" t="inlineStr">
        <is>
          <t>LD-07</t>
        </is>
      </c>
      <c r="B16" s="4" t="inlineStr">
        <is>
          <t>LEADING</t>
        </is>
      </c>
      <c r="C16" s="2" t="inlineStr">
        <is>
          <t>Alertes fumées déclenchées</t>
        </is>
      </c>
      <c r="D16" s="2" t="inlineStr">
        <is>
          <t>Nombre d'alertes fumées (80%, 100%, 120% VLEP)</t>
        </is>
      </c>
      <c r="E16" s="2" t="inlineStr">
        <is>
          <t>#/shift par seuil</t>
        </is>
      </c>
      <c r="F16" s="2" t="inlineStr">
        <is>
          <t>Comptage par niveau d'alerte</t>
        </is>
      </c>
      <c r="G16" s="2" t="inlineStr">
        <is>
          <t>Par shift</t>
        </is>
      </c>
      <c r="H16" s="2" t="inlineStr">
        <is>
          <t>RoboSafe logs</t>
        </is>
      </c>
      <c r="I16" s="2" t="inlineStr">
        <is>
          <t>Non</t>
        </is>
      </c>
      <c r="J16" s="2" t="inlineStr">
        <is>
          <t>Tendance décroissante</t>
        </is>
      </c>
      <c r="K16" s="2" t="inlineStr">
        <is>
          <t>HSE</t>
        </is>
      </c>
    </row>
    <row r="17">
      <c r="A17" s="2" t="inlineStr">
        <is>
          <t>LD-08</t>
        </is>
      </c>
      <c r="B17" s="4" t="inlineStr">
        <is>
          <t>LEADING</t>
        </is>
      </c>
      <c r="C17" s="2" t="inlineStr">
        <is>
          <t>Temps en posture critique</t>
        </is>
      </c>
      <c r="D17" s="2" t="inlineStr">
        <is>
          <t>Temps cumulé avec RULA ≥5</t>
        </is>
      </c>
      <c r="E17" s="2" t="inlineStr">
        <is>
          <t>min/shift</t>
        </is>
      </c>
      <c r="F17" s="2" t="inlineStr">
        <is>
          <t>Intégration temps si RULA≥5</t>
        </is>
      </c>
      <c r="G17" s="2" t="inlineStr">
        <is>
          <t>Par shift</t>
        </is>
      </c>
      <c r="H17" s="2" t="inlineStr">
        <is>
          <t>Vision IA ergo</t>
        </is>
      </c>
      <c r="I17" s="2" t="inlineStr">
        <is>
          <t>Non</t>
        </is>
      </c>
      <c r="J17" s="2" t="inlineStr">
        <is>
          <t>&lt;30 min/shift</t>
        </is>
      </c>
      <c r="K17" s="2" t="inlineStr">
        <is>
          <t>HSE</t>
        </is>
      </c>
    </row>
    <row r="18">
      <c r="A18" s="2" t="inlineStr">
        <is>
          <t>LD-09</t>
        </is>
      </c>
      <c r="B18" s="4" t="inlineStr">
        <is>
          <t>LEADING</t>
        </is>
      </c>
      <c r="C18" s="2" t="inlineStr">
        <is>
          <t>Contacts détectés (PFL)</t>
        </is>
      </c>
      <c r="D18" s="2" t="inlineStr">
        <is>
          <t>Nombre de contacts humain-robot détectés</t>
        </is>
      </c>
      <c r="E18" s="2" t="inlineStr">
        <is>
          <t>#/semaine</t>
        </is>
      </c>
      <c r="F18" s="2" t="inlineStr">
        <is>
          <t>Comptage capteurs force</t>
        </is>
      </c>
      <c r="G18" s="2" t="inlineStr">
        <is>
          <t>Hebdomadaire</t>
        </is>
      </c>
      <c r="H18" s="2" t="inlineStr">
        <is>
          <t>RoboSafe logs</t>
        </is>
      </c>
      <c r="I18" s="2" t="inlineStr">
        <is>
          <t>Non</t>
        </is>
      </c>
      <c r="J18" s="2" t="inlineStr">
        <is>
          <t>0 contacts &gt;65N</t>
        </is>
      </c>
      <c r="K18" s="2" t="inlineStr">
        <is>
          <t>HSE</t>
        </is>
      </c>
    </row>
    <row r="19">
      <c r="A19" s="2" t="inlineStr">
        <is>
          <t>LD-10</t>
        </is>
      </c>
      <c r="B19" s="4" t="inlineStr">
        <is>
          <t>LEADING</t>
        </is>
      </c>
      <c r="C19" s="2" t="inlineStr">
        <is>
          <t>Score risque moyen</t>
        </is>
      </c>
      <c r="D19" s="2" t="inlineStr">
        <is>
          <t>Score risque temps réel moyen par shift</t>
        </is>
      </c>
      <c r="E19" s="2" t="inlineStr">
        <is>
          <t>0-100</t>
        </is>
      </c>
      <c r="F19" s="2" t="inlineStr">
        <is>
          <t>Moyenne score RoboSafe</t>
        </is>
      </c>
      <c r="G19" s="2" t="inlineStr">
        <is>
          <t>Par shift</t>
        </is>
      </c>
      <c r="H19" s="2" t="inlineStr">
        <is>
          <t>RoboSafe analytics</t>
        </is>
      </c>
      <c r="I19" s="2" t="inlineStr">
        <is>
          <t>Non</t>
        </is>
      </c>
      <c r="J19" s="2" t="inlineStr">
        <is>
          <t>&lt;30 (zone verte)</t>
        </is>
      </c>
      <c r="K19" s="2" t="inlineStr">
        <is>
          <t>HSE</t>
        </is>
      </c>
    </row>
    <row r="20">
      <c r="A20" s="2" t="inlineStr">
        <is>
          <t>LG-01</t>
        </is>
      </c>
      <c r="B20" s="5" t="inlineStr">
        <is>
          <t>LAGGING</t>
        </is>
      </c>
      <c r="C20" s="2" t="inlineStr">
        <is>
          <t>Accidents avec arrêt (période)</t>
        </is>
      </c>
      <c r="D20" s="2" t="inlineStr">
        <is>
          <t>Accidents avec arrêt depuis déploiement</t>
        </is>
      </c>
      <c r="E20" s="2" t="inlineStr">
        <is>
          <t>#/trimestre</t>
        </is>
      </c>
      <c r="F20" s="2" t="inlineStr">
        <is>
          <t>Comptage registre</t>
        </is>
      </c>
      <c r="G20" s="2" t="inlineStr">
        <is>
          <t>Trimestrielle</t>
        </is>
      </c>
      <c r="H20" s="2" t="inlineStr">
        <is>
          <t>Registre HSE</t>
        </is>
      </c>
      <c r="I20" s="2" t="inlineStr">
        <is>
          <t>Oui (comparaison)</t>
        </is>
      </c>
      <c r="J20" s="2" t="inlineStr">
        <is>
          <t>Réduction vs baseline</t>
        </is>
      </c>
      <c r="K20" s="2" t="inlineStr">
        <is>
          <t>HSE</t>
        </is>
      </c>
    </row>
    <row r="21">
      <c r="A21" s="2" t="inlineStr">
        <is>
          <t>LG-02</t>
        </is>
      </c>
      <c r="B21" s="5" t="inlineStr">
        <is>
          <t>LAGGING</t>
        </is>
      </c>
      <c r="C21" s="2" t="inlineStr">
        <is>
          <t>Jours perdus (période)</t>
        </is>
      </c>
      <c r="D21" s="2" t="inlineStr">
        <is>
          <t>Jours d'absence pour blessures (période)</t>
        </is>
      </c>
      <c r="E21" s="2" t="inlineStr">
        <is>
          <t>jours/trimestre</t>
        </is>
      </c>
      <c r="F21" s="2" t="inlineStr">
        <is>
          <t>Σ jours arrêt</t>
        </is>
      </c>
      <c r="G21" s="2" t="inlineStr">
        <is>
          <t>Trimestrielle</t>
        </is>
      </c>
      <c r="H21" s="2" t="inlineStr">
        <is>
          <t>RH + HSE</t>
        </is>
      </c>
      <c r="I21" s="2" t="inlineStr">
        <is>
          <t>Oui (comparaison)</t>
        </is>
      </c>
      <c r="J21" s="2" t="inlineStr">
        <is>
          <t>Réduction vs baseline</t>
        </is>
      </c>
      <c r="K21" s="2" t="inlineStr">
        <is>
          <t>HSE/RH</t>
        </is>
      </c>
    </row>
    <row r="22">
      <c r="A22" s="2" t="inlineStr">
        <is>
          <t>LG-03</t>
        </is>
      </c>
      <c r="B22" s="5" t="inlineStr">
        <is>
          <t>LAGGING</t>
        </is>
      </c>
      <c r="C22" s="2" t="inlineStr">
        <is>
          <t>Taux de fréquence (TF)</t>
        </is>
      </c>
      <c r="D22" s="2" t="inlineStr">
        <is>
          <t>Accidents × 1 000 000 / heures travaillées</t>
        </is>
      </c>
      <c r="E22" s="2" t="inlineStr">
        <is>
          <t>par million h</t>
        </is>
      </c>
      <c r="F22" s="2" t="inlineStr">
        <is>
          <t>(Accidents × 10⁶) / heures</t>
        </is>
      </c>
      <c r="G22" s="2" t="inlineStr">
        <is>
          <t>Annuelle</t>
        </is>
      </c>
      <c r="H22" s="2" t="inlineStr">
        <is>
          <t>HSE + RH</t>
        </is>
      </c>
      <c r="I22" s="2" t="inlineStr">
        <is>
          <t>Oui</t>
        </is>
      </c>
      <c r="J22" s="2" t="inlineStr">
        <is>
          <t>Réduction 20%</t>
        </is>
      </c>
      <c r="K22" s="2" t="inlineStr">
        <is>
          <t>HSE</t>
        </is>
      </c>
    </row>
    <row r="23">
      <c r="A23" s="2" t="inlineStr">
        <is>
          <t>LG-04</t>
        </is>
      </c>
      <c r="B23" s="5" t="inlineStr">
        <is>
          <t>LAGGING</t>
        </is>
      </c>
      <c r="C23" s="2" t="inlineStr">
        <is>
          <t>Taux de gravité (TG)</t>
        </is>
      </c>
      <c r="D23" s="2" t="inlineStr">
        <is>
          <t>Jours perdus × 1 000 / heures travaillées</t>
        </is>
      </c>
      <c r="E23" s="2" t="inlineStr">
        <is>
          <t>par 1000 h</t>
        </is>
      </c>
      <c r="F23" s="2" t="inlineStr">
        <is>
          <t>(Jours × 10³) / heures</t>
        </is>
      </c>
      <c r="G23" s="2" t="inlineStr">
        <is>
          <t>Annuelle</t>
        </is>
      </c>
      <c r="H23" s="2" t="inlineStr">
        <is>
          <t>HSE + RH</t>
        </is>
      </c>
      <c r="I23" s="2" t="inlineStr">
        <is>
          <t>Oui</t>
        </is>
      </c>
      <c r="J23" s="2" t="inlineStr">
        <is>
          <t>Réduction 25%</t>
        </is>
      </c>
      <c r="K23" s="2" t="inlineStr">
        <is>
          <t>HSE</t>
        </is>
      </c>
    </row>
    <row r="24">
      <c r="A24" s="2" t="inlineStr">
        <is>
          <t>LG-05</t>
        </is>
      </c>
      <c r="B24" s="5" t="inlineStr">
        <is>
          <t>LAGGING</t>
        </is>
      </c>
      <c r="C24" s="2" t="inlineStr">
        <is>
          <t>Coût total sinistres (période)</t>
        </is>
      </c>
      <c r="D24" s="2" t="inlineStr">
        <is>
          <t>Somme coûts sinistres sur période</t>
        </is>
      </c>
      <c r="E24" s="2" t="inlineStr">
        <is>
          <t>$/trimestre</t>
        </is>
      </c>
      <c r="F24" s="2" t="inlineStr">
        <is>
          <t>Σ (indemnités + soins + admin)</t>
        </is>
      </c>
      <c r="G24" s="2" t="inlineStr">
        <is>
          <t>Trimestrielle</t>
        </is>
      </c>
      <c r="H24" s="2" t="inlineStr">
        <is>
          <t>Finance + HSE</t>
        </is>
      </c>
      <c r="I24" s="2" t="inlineStr">
        <is>
          <t>Oui</t>
        </is>
      </c>
      <c r="J24" s="2" t="inlineStr">
        <is>
          <t>Réduction vs baseline</t>
        </is>
      </c>
      <c r="K24" s="2" t="inlineStr">
        <is>
          <t>Finance</t>
        </is>
      </c>
    </row>
    <row r="25">
      <c r="A25" s="2" t="inlineStr">
        <is>
          <t>LG-06</t>
        </is>
      </c>
      <c r="B25" s="5" t="inlineStr">
        <is>
          <t>LAGGING</t>
        </is>
      </c>
      <c r="C25" s="2" t="inlineStr">
        <is>
          <t>Indice gravité moyen</t>
        </is>
      </c>
      <c r="D25" s="2" t="inlineStr">
        <is>
          <t>Gravité moyenne par accident (jours/accident)</t>
        </is>
      </c>
      <c r="E25" s="2" t="inlineStr">
        <is>
          <t>jours/accident</t>
        </is>
      </c>
      <c r="F25" s="2" t="inlineStr">
        <is>
          <t>Jours perdus / Nb accidents</t>
        </is>
      </c>
      <c r="G25" s="2" t="inlineStr">
        <is>
          <t>Annuelle</t>
        </is>
      </c>
      <c r="H25" s="2" t="inlineStr">
        <is>
          <t>HSE</t>
        </is>
      </c>
      <c r="I25" s="2" t="inlineStr">
        <is>
          <t>Oui</t>
        </is>
      </c>
      <c r="J25" s="2" t="inlineStr">
        <is>
          <t>Stable ou ↓</t>
        </is>
      </c>
      <c r="K25" s="2" t="inlineStr">
        <is>
          <t>HSE</t>
        </is>
      </c>
    </row>
    <row r="26">
      <c r="A26" s="2" t="inlineStr">
        <is>
          <t>LG-07</t>
        </is>
      </c>
      <c r="B26" s="5" t="inlineStr">
        <is>
          <t>LAGGING</t>
        </is>
      </c>
      <c r="C26" s="2" t="inlineStr">
        <is>
          <t>OEE période</t>
        </is>
      </c>
      <c r="D26" s="2" t="inlineStr">
        <is>
          <t>OEE moyen sur la période</t>
        </is>
      </c>
      <c r="E26" s="2" t="inlineStr">
        <is>
          <t>%</t>
        </is>
      </c>
      <c r="F26" s="2" t="inlineStr">
        <is>
          <t>Moyenne OEE hebdo</t>
        </is>
      </c>
      <c r="G26" s="2" t="inlineStr">
        <is>
          <t>Mensuelle</t>
        </is>
      </c>
      <c r="H26" s="2" t="inlineStr">
        <is>
          <t>MES</t>
        </is>
      </c>
      <c r="I26" s="2" t="inlineStr">
        <is>
          <t>Oui</t>
        </is>
      </c>
      <c r="J26" s="2" t="inlineStr">
        <is>
          <t>Amélioration vs baseline</t>
        </is>
      </c>
      <c r="K26" s="2" t="inlineStr">
        <is>
          <t>Production</t>
        </is>
      </c>
    </row>
    <row r="27">
      <c r="A27" s="2" t="inlineStr">
        <is>
          <t>LG-08</t>
        </is>
      </c>
      <c r="B27" s="5" t="inlineStr">
        <is>
          <t>LAGGING</t>
        </is>
      </c>
      <c r="C27" s="2" t="inlineStr">
        <is>
          <t>Disponibilité cellule</t>
        </is>
      </c>
      <c r="D27" s="2" t="inlineStr">
        <is>
          <t>Temps productif / Temps planifié</t>
        </is>
      </c>
      <c r="E27" s="2" t="inlineStr">
        <is>
          <t>%</t>
        </is>
      </c>
      <c r="F27" s="2" t="inlineStr">
        <is>
          <t>(Heures prod / Heures plan) × 100</t>
        </is>
      </c>
      <c r="G27" s="2" t="inlineStr">
        <is>
          <t>Mensuelle</t>
        </is>
      </c>
      <c r="H27" s="2" t="inlineStr">
        <is>
          <t>MES</t>
        </is>
      </c>
      <c r="I27" s="2" t="inlineStr">
        <is>
          <t>Oui</t>
        </is>
      </c>
      <c r="J27" s="2" t="inlineStr">
        <is>
          <t>Amélioration +2%</t>
        </is>
      </c>
      <c r="K27" s="2" t="inlineStr">
        <is>
          <t>Production</t>
        </is>
      </c>
    </row>
    <row r="28">
      <c r="A28" s="2" t="inlineStr">
        <is>
          <t>ROI-01</t>
        </is>
      </c>
      <c r="B28" s="6" t="inlineStr">
        <is>
          <t>ROI</t>
        </is>
      </c>
      <c r="C28" s="2" t="inlineStr">
        <is>
          <t>Jours évités valorisés</t>
        </is>
      </c>
      <c r="D28" s="2" t="inlineStr">
        <is>
          <t>Valeur financière des jours d'arrêt évités</t>
        </is>
      </c>
      <c r="E28" s="2" t="inlineStr">
        <is>
          <t>$/période</t>
        </is>
      </c>
      <c r="F28" s="2" t="inlineStr">
        <is>
          <t>Jours évités × Coût/jour</t>
        </is>
      </c>
      <c r="G28" s="2" t="inlineStr">
        <is>
          <t>Trimestrielle</t>
        </is>
      </c>
      <c r="H28" s="2" t="inlineStr">
        <is>
          <t>Calcul modèle</t>
        </is>
      </c>
      <c r="I28" s="2" t="inlineStr">
        <is>
          <t>Oui</t>
        </is>
      </c>
      <c r="J28" s="2" t="inlineStr">
        <is>
          <t>Positif</t>
        </is>
      </c>
      <c r="K28" s="2" t="inlineStr">
        <is>
          <t>Finance</t>
        </is>
      </c>
    </row>
    <row r="29">
      <c r="A29" s="2" t="inlineStr">
        <is>
          <t>ROI-02</t>
        </is>
      </c>
      <c r="B29" s="6" t="inlineStr">
        <is>
          <t>ROI</t>
        </is>
      </c>
      <c r="C29" s="2" t="inlineStr">
        <is>
          <t>Sinistres évités valorisés</t>
        </is>
      </c>
      <c r="D29" s="2" t="inlineStr">
        <is>
          <t>Économie sinistres (nb × coût moyen)</t>
        </is>
      </c>
      <c r="E29" s="2" t="inlineStr">
        <is>
          <t>$/période</t>
        </is>
      </c>
      <c r="F29" s="2" t="inlineStr">
        <is>
          <t>(Sinistres baseline - Sinistres réels) × Coût moyen</t>
        </is>
      </c>
      <c r="G29" s="2" t="inlineStr">
        <is>
          <t>Trimestrielle</t>
        </is>
      </c>
      <c r="H29" s="2" t="inlineStr">
        <is>
          <t>Calcul</t>
        </is>
      </c>
      <c r="I29" s="2" t="inlineStr">
        <is>
          <t>Oui</t>
        </is>
      </c>
      <c r="J29" s="2" t="inlineStr">
        <is>
          <t>Positif</t>
        </is>
      </c>
      <c r="K29" s="2" t="inlineStr">
        <is>
          <t>Finance</t>
        </is>
      </c>
    </row>
    <row r="30">
      <c r="A30" s="2" t="inlineStr">
        <is>
          <t>ROI-03</t>
        </is>
      </c>
      <c r="B30" s="6" t="inlineStr">
        <is>
          <t>ROI</t>
        </is>
      </c>
      <c r="C30" s="2" t="inlineStr">
        <is>
          <t>Gain OEE valorisé</t>
        </is>
      </c>
      <c r="D30" s="2" t="inlineStr">
        <is>
          <t>Valeur du gain de productivité OEE</t>
        </is>
      </c>
      <c r="E30" s="2" t="inlineStr">
        <is>
          <t>$/période</t>
        </is>
      </c>
      <c r="F30" s="2" t="inlineStr">
        <is>
          <t>ΔOEE × Valeur production</t>
        </is>
      </c>
      <c r="G30" s="2" t="inlineStr">
        <is>
          <t>Trimestrielle</t>
        </is>
      </c>
      <c r="H30" s="2" t="inlineStr">
        <is>
          <t>Calcul</t>
        </is>
      </c>
      <c r="I30" s="2" t="inlineStr">
        <is>
          <t>Oui</t>
        </is>
      </c>
      <c r="J30" s="2" t="inlineStr">
        <is>
          <t>Positif</t>
        </is>
      </c>
      <c r="K30" s="2" t="inlineStr">
        <is>
          <t>Finance</t>
        </is>
      </c>
    </row>
    <row r="31">
      <c r="A31" s="2" t="inlineStr">
        <is>
          <t>ROI-04</t>
        </is>
      </c>
      <c r="B31" s="6" t="inlineStr">
        <is>
          <t>ROI</t>
        </is>
      </c>
      <c r="C31" s="2" t="inlineStr">
        <is>
          <t>Économies totales</t>
        </is>
      </c>
      <c r="D31" s="2" t="inlineStr">
        <is>
          <t>Somme des bénéfices quantifiables</t>
        </is>
      </c>
      <c r="E31" s="2" t="inlineStr">
        <is>
          <t>$/an</t>
        </is>
      </c>
      <c r="F31" s="2" t="inlineStr">
        <is>
          <t>ROI-01 + ROI-02 + ROI-03</t>
        </is>
      </c>
      <c r="G31" s="2" t="inlineStr">
        <is>
          <t>Annuelle</t>
        </is>
      </c>
      <c r="H31" s="2" t="inlineStr">
        <is>
          <t>Calcul</t>
        </is>
      </c>
      <c r="I31" s="2" t="inlineStr">
        <is>
          <t>N/A</t>
        </is>
      </c>
      <c r="J31" s="2" t="inlineStr">
        <is>
          <t>&gt; CTP</t>
        </is>
      </c>
      <c r="K31" s="2" t="inlineStr">
        <is>
          <t>Finance</t>
        </is>
      </c>
    </row>
    <row r="32">
      <c r="A32" s="2" t="inlineStr">
        <is>
          <t>ROI-05</t>
        </is>
      </c>
      <c r="B32" s="6" t="inlineStr">
        <is>
          <t>ROI</t>
        </is>
      </c>
      <c r="C32" s="2" t="inlineStr">
        <is>
          <t>CTP annuel</t>
        </is>
      </c>
      <c r="D32" s="2" t="inlineStr">
        <is>
          <t>Coût Total de Possession annuel</t>
        </is>
      </c>
      <c r="E32" s="2" t="inlineStr">
        <is>
          <t>$/an</t>
        </is>
      </c>
      <c r="F32" s="2" t="inlineStr">
        <is>
          <t>Licence + Support + Formation + Capteurs</t>
        </is>
      </c>
      <c r="G32" s="2" t="inlineStr">
        <is>
          <t>Annuelle</t>
        </is>
      </c>
      <c r="H32" s="2" t="inlineStr">
        <is>
          <t>Contrat + Budget</t>
        </is>
      </c>
      <c r="I32" s="2" t="inlineStr">
        <is>
          <t>N/A</t>
        </is>
      </c>
      <c r="J32" s="2" t="inlineStr">
        <is>
          <t>Fixé au contrat</t>
        </is>
      </c>
      <c r="K32" s="2" t="inlineStr">
        <is>
          <t>Finance</t>
        </is>
      </c>
    </row>
    <row r="33">
      <c r="A33" s="2" t="inlineStr">
        <is>
          <t>ROI-06</t>
        </is>
      </c>
      <c r="B33" s="6" t="inlineStr">
        <is>
          <t>ROI</t>
        </is>
      </c>
      <c r="C33" s="2" t="inlineStr">
        <is>
          <t>ROI annuel</t>
        </is>
      </c>
      <c r="D33" s="2" t="inlineStr">
        <is>
          <t>Retour sur investissement</t>
        </is>
      </c>
      <c r="E33" s="2" t="inlineStr">
        <is>
          <t>%</t>
        </is>
      </c>
      <c r="F33" s="2" t="inlineStr">
        <is>
          <t>((Économies - CTP) / CTP) × 100</t>
        </is>
      </c>
      <c r="G33" s="2" t="inlineStr">
        <is>
          <t>Annuelle</t>
        </is>
      </c>
      <c r="H33" s="2" t="inlineStr">
        <is>
          <t>Calcul</t>
        </is>
      </c>
      <c r="I33" s="2" t="inlineStr">
        <is>
          <t>N/A</t>
        </is>
      </c>
      <c r="J33" s="2" t="inlineStr">
        <is>
          <t>&gt;0% An1, &gt;50% An2</t>
        </is>
      </c>
      <c r="K33" s="2" t="inlineStr">
        <is>
          <t>Finance</t>
        </is>
      </c>
    </row>
    <row r="34">
      <c r="A34" s="2" t="inlineStr">
        <is>
          <t>ROI-07</t>
        </is>
      </c>
      <c r="B34" s="6" t="inlineStr">
        <is>
          <t>ROI</t>
        </is>
      </c>
      <c r="C34" s="2" t="inlineStr">
        <is>
          <t>Payback period</t>
        </is>
      </c>
      <c r="D34" s="2" t="inlineStr">
        <is>
          <t>Délai de récupération de l'investissement</t>
        </is>
      </c>
      <c r="E34" s="2" t="inlineStr">
        <is>
          <t>mois</t>
        </is>
      </c>
      <c r="F34" s="2" t="inlineStr">
        <is>
          <t>CTP / (Économies mensuelles)</t>
        </is>
      </c>
      <c r="G34" s="2" t="inlineStr">
        <is>
          <t>Calcul unique</t>
        </is>
      </c>
      <c r="H34" s="2" t="inlineStr">
        <is>
          <t>Calcul</t>
        </is>
      </c>
      <c r="I34" s="2" t="inlineStr">
        <is>
          <t>N/A</t>
        </is>
      </c>
      <c r="J34" s="2" t="inlineStr">
        <is>
          <t>&lt;24 mois</t>
        </is>
      </c>
      <c r="K34" s="2" t="inlineStr">
        <is>
          <t>Finance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35" customWidth="1" min="6" max="6"/>
  </cols>
  <sheetData>
    <row r="1">
      <c r="A1" s="7" t="inlineStr">
        <is>
          <t>HYPOTHÈSES ET PARAMÈTRES DU MODÈLE ROI</t>
        </is>
      </c>
    </row>
    <row r="3">
      <c r="A3" s="8" t="inlineStr">
        <is>
          <t>DONNÉES BASELINE (à renseigner)</t>
        </is>
      </c>
    </row>
    <row r="4">
      <c r="A4" s="9" t="inlineStr">
        <is>
          <t>ID</t>
        </is>
      </c>
      <c r="B4" s="9" t="inlineStr">
        <is>
          <t>Paramètre</t>
        </is>
      </c>
      <c r="C4" s="9" t="inlineStr">
        <is>
          <t>Valeur</t>
        </is>
      </c>
      <c r="D4" s="9" t="inlineStr">
        <is>
          <t>Unité</t>
        </is>
      </c>
      <c r="E4" s="9" t="inlineStr">
        <is>
          <t>Source/Commentaire</t>
        </is>
      </c>
    </row>
    <row r="5">
      <c r="A5" s="10" t="inlineStr">
        <is>
          <t>B_01</t>
        </is>
      </c>
      <c r="B5" s="10" t="inlineStr">
        <is>
          <t>Accidents avec arrêt (historique 3 ans)</t>
        </is>
      </c>
      <c r="C5" s="11" t="n">
        <v>4</v>
      </c>
      <c r="D5" s="10" t="inlineStr">
        <is>
          <t>#/an</t>
        </is>
      </c>
      <c r="E5" s="10" t="inlineStr">
        <is>
          <t>Moyenne 3 dernières années</t>
        </is>
      </c>
    </row>
    <row r="6">
      <c r="A6" s="10" t="inlineStr">
        <is>
          <t>B_02</t>
        </is>
      </c>
      <c r="B6" s="10" t="inlineStr">
        <is>
          <t>Quasi-incidents déclarés</t>
        </is>
      </c>
      <c r="C6" s="11" t="n">
        <v>12</v>
      </c>
      <c r="D6" s="10" t="inlineStr">
        <is>
          <t>#/an</t>
        </is>
      </c>
      <c r="E6" s="10" t="inlineStr">
        <is>
          <t>Historique 12 mois</t>
        </is>
      </c>
    </row>
    <row r="7">
      <c r="A7" s="10" t="inlineStr">
        <is>
          <t>B_03</t>
        </is>
      </c>
      <c r="B7" s="10" t="inlineStr">
        <is>
          <t>Jours perdus (moyenne 3 ans)</t>
        </is>
      </c>
      <c r="C7" s="11" t="n">
        <v>45</v>
      </c>
      <c r="D7" s="10" t="inlineStr">
        <is>
          <t>jours/an</t>
        </is>
      </c>
      <c r="E7" s="10" t="inlineStr">
        <is>
          <t>Total jours arrêt/an</t>
        </is>
      </c>
    </row>
    <row r="8">
      <c r="A8" s="10" t="inlineStr">
        <is>
          <t>B_04</t>
        </is>
      </c>
      <c r="B8" s="10" t="inlineStr">
        <is>
          <t>Coût moyen par jour perdu</t>
        </is>
      </c>
      <c r="C8" s="11" t="n">
        <v>450</v>
      </c>
      <c r="D8" s="10" t="inlineStr">
        <is>
          <t>$/jour</t>
        </is>
      </c>
      <c r="E8" s="10" t="inlineStr">
        <is>
          <t>Salaire + charges + indirect (~1.5x salaire brut)</t>
        </is>
      </c>
    </row>
    <row r="9">
      <c r="A9" s="10" t="inlineStr">
        <is>
          <t>B_05</t>
        </is>
      </c>
      <c r="B9" s="10" t="inlineStr">
        <is>
          <t>Coût moyen par sinistre</t>
        </is>
      </c>
      <c r="C9" s="11" t="n">
        <v>25000</v>
      </c>
      <c r="D9" s="10" t="inlineStr">
        <is>
          <t>$/sinistre</t>
        </is>
      </c>
      <c r="E9" s="10" t="inlineStr">
        <is>
          <t>Indemnités + soins + admin + indirect</t>
        </is>
      </c>
    </row>
    <row r="10">
      <c r="A10" s="10" t="inlineStr">
        <is>
          <t>B_06</t>
        </is>
      </c>
      <c r="B10" s="10" t="inlineStr">
        <is>
          <t>OEE baseline</t>
        </is>
      </c>
      <c r="C10" s="11" t="n">
        <v>72</v>
      </c>
      <c r="D10" s="10" t="inlineStr">
        <is>
          <t>%</t>
        </is>
      </c>
      <c r="E10" s="10" t="inlineStr">
        <is>
          <t>Moyenne 6 derniers mois</t>
        </is>
      </c>
    </row>
    <row r="11">
      <c r="A11" s="10" t="inlineStr">
        <is>
          <t>B_07</t>
        </is>
      </c>
      <c r="B11" s="10" t="inlineStr">
        <is>
          <t>Heures production/an</t>
        </is>
      </c>
      <c r="C11" s="11" t="n">
        <v>4000</v>
      </c>
      <c r="D11" s="10" t="inlineStr">
        <is>
          <t>h/an</t>
        </is>
      </c>
      <c r="E11" s="10" t="inlineStr">
        <is>
          <t>Heures planifiées cellule</t>
        </is>
      </c>
    </row>
    <row r="12">
      <c r="A12" s="10" t="inlineStr">
        <is>
          <t>B_08</t>
        </is>
      </c>
      <c r="B12" s="10" t="inlineStr">
        <is>
          <t>Valeur production horaire</t>
        </is>
      </c>
      <c r="C12" s="11" t="n">
        <v>500</v>
      </c>
      <c r="D12" s="10" t="inlineStr">
        <is>
          <t>$/h</t>
        </is>
      </c>
      <c r="E12" s="10" t="inlineStr">
        <is>
          <t>Chiffre d'affaires / heure cellule</t>
        </is>
      </c>
    </row>
    <row r="13">
      <c r="A13" s="10" t="inlineStr">
        <is>
          <t>B_09</t>
        </is>
      </c>
      <c r="B13" s="10" t="inlineStr">
        <is>
          <t>Prime SST annuelle</t>
        </is>
      </c>
      <c r="C13" s="11" t="n">
        <v>15000</v>
      </c>
      <c r="D13" s="10" t="inlineStr">
        <is>
          <t>$/an</t>
        </is>
      </c>
      <c r="E13" s="10" t="inlineStr">
        <is>
          <t>Cotisation CNESST ou prime AT</t>
        </is>
      </c>
    </row>
    <row r="14">
      <c r="A14" s="10" t="inlineStr">
        <is>
          <t>B_10</t>
        </is>
      </c>
      <c r="B14" s="10" t="inlineStr">
        <is>
          <t>Arrêts non planifiés</t>
        </is>
      </c>
      <c r="C14" s="11" t="n">
        <v>8</v>
      </c>
      <c r="D14" s="10" t="inlineStr">
        <is>
          <t>#/mois</t>
        </is>
      </c>
      <c r="E14" s="10" t="inlineStr">
        <is>
          <t>Pannes, incidents, interventions</t>
        </is>
      </c>
    </row>
    <row r="16">
      <c r="A16" s="12" t="inlineStr">
        <is>
          <t>HYPOTHÈSES DE RÉDUCTION (par scénario)</t>
        </is>
      </c>
    </row>
    <row r="17">
      <c r="A17" s="9" t="inlineStr">
        <is>
          <t>Paramètre</t>
        </is>
      </c>
      <c r="B17" s="9" t="inlineStr">
        <is>
          <t>Prudent</t>
        </is>
      </c>
      <c r="C17" s="9" t="inlineStr">
        <is>
          <t>Nominal</t>
        </is>
      </c>
      <c r="D17" s="9" t="inlineStr">
        <is>
          <t>Ambitieux</t>
        </is>
      </c>
      <c r="E17" s="9" t="inlineStr">
        <is>
          <t>Justification</t>
        </is>
      </c>
    </row>
    <row r="18">
      <c r="A18" s="10" t="inlineStr">
        <is>
          <t>Réduction accidents An1</t>
        </is>
      </c>
      <c r="B18" s="13" t="inlineStr">
        <is>
          <t>15%</t>
        </is>
      </c>
      <c r="C18" s="13" t="inlineStr">
        <is>
          <t>25%</t>
        </is>
      </c>
      <c r="D18" s="13" t="inlineStr">
        <is>
          <t>35%</t>
        </is>
      </c>
      <c r="E18" s="10" t="inlineStr">
        <is>
          <t>Études ROI SST: 20-30% typique</t>
        </is>
      </c>
    </row>
    <row r="19">
      <c r="A19" s="10" t="inlineStr">
        <is>
          <t>Réduction accidents An2</t>
        </is>
      </c>
      <c r="B19" s="13" t="inlineStr">
        <is>
          <t>25%</t>
        </is>
      </c>
      <c r="C19" s="13" t="inlineStr">
        <is>
          <t>35%</t>
        </is>
      </c>
      <c r="D19" s="13" t="inlineStr">
        <is>
          <t>45%</t>
        </is>
      </c>
      <c r="E19" s="10" t="inlineStr">
        <is>
          <t>Effet apprentissage + ajustements</t>
        </is>
      </c>
    </row>
    <row r="20">
      <c r="A20" s="10" t="inlineStr">
        <is>
          <t>Réduction accidents An3</t>
        </is>
      </c>
      <c r="B20" s="13" t="inlineStr">
        <is>
          <t>30%</t>
        </is>
      </c>
      <c r="C20" s="13" t="inlineStr">
        <is>
          <t>40%</t>
        </is>
      </c>
      <c r="D20" s="13" t="inlineStr">
        <is>
          <t>50%</t>
        </is>
      </c>
      <c r="E20" s="10" t="inlineStr">
        <is>
          <t>Maturité système</t>
        </is>
      </c>
    </row>
    <row r="21">
      <c r="A21" s="10" t="inlineStr">
        <is>
          <t>Réduction jours perdus An1</t>
        </is>
      </c>
      <c r="B21" s="13" t="inlineStr">
        <is>
          <t>20%</t>
        </is>
      </c>
      <c r="C21" s="13" t="inlineStr">
        <is>
          <t>30%</t>
        </is>
      </c>
      <c r="D21" s="13" t="inlineStr">
        <is>
          <t>40%</t>
        </is>
      </c>
      <c r="E21" s="10" t="inlineStr">
        <is>
          <t>Prévention gravité</t>
        </is>
      </c>
    </row>
    <row r="22">
      <c r="A22" s="10" t="inlineStr">
        <is>
          <t>Réduction jours perdus An2</t>
        </is>
      </c>
      <c r="B22" s="13" t="inlineStr">
        <is>
          <t>30%</t>
        </is>
      </c>
      <c r="C22" s="13" t="inlineStr">
        <is>
          <t>40%</t>
        </is>
      </c>
      <c r="D22" s="13" t="inlineStr">
        <is>
          <t>50%</t>
        </is>
      </c>
      <c r="E22" s="10" t="inlineStr"/>
    </row>
    <row r="23">
      <c r="A23" s="10" t="inlineStr">
        <is>
          <t>Réduction jours perdus An3</t>
        </is>
      </c>
      <c r="B23" s="13" t="inlineStr">
        <is>
          <t>35%</t>
        </is>
      </c>
      <c r="C23" s="13" t="inlineStr">
        <is>
          <t>45%</t>
        </is>
      </c>
      <c r="D23" s="13" t="inlineStr">
        <is>
          <t>55%</t>
        </is>
      </c>
      <c r="E23" s="10" t="inlineStr"/>
    </row>
    <row r="24">
      <c r="A24" s="10" t="inlineStr">
        <is>
          <t>Amélioration OEE An1</t>
        </is>
      </c>
      <c r="B24" s="13" t="inlineStr">
        <is>
          <t>+1%</t>
        </is>
      </c>
      <c r="C24" s="13" t="inlineStr">
        <is>
          <t>+2%</t>
        </is>
      </c>
      <c r="D24" s="13" t="inlineStr">
        <is>
          <t>+3%</t>
        </is>
      </c>
      <c r="E24" s="10" t="inlineStr">
        <is>
          <t>Moins d'arrêts non planifiés</t>
        </is>
      </c>
    </row>
    <row r="25">
      <c r="A25" s="10" t="inlineStr">
        <is>
          <t>Amélioration OEE An2</t>
        </is>
      </c>
      <c r="B25" s="13" t="inlineStr">
        <is>
          <t>+2%</t>
        </is>
      </c>
      <c r="C25" s="13" t="inlineStr">
        <is>
          <t>+3%</t>
        </is>
      </c>
      <c r="D25" s="13" t="inlineStr">
        <is>
          <t>+5%</t>
        </is>
      </c>
      <c r="E25" s="10" t="inlineStr"/>
    </row>
    <row r="26">
      <c r="A26" s="10" t="inlineStr">
        <is>
          <t>Amélioration OEE An3</t>
        </is>
      </c>
      <c r="B26" s="13" t="inlineStr">
        <is>
          <t>+2%</t>
        </is>
      </c>
      <c r="C26" s="13" t="inlineStr">
        <is>
          <t>+4%</t>
        </is>
      </c>
      <c r="D26" s="13" t="inlineStr">
        <is>
          <t>+6%</t>
        </is>
      </c>
      <c r="E26" s="10" t="inlineStr"/>
    </row>
    <row r="27">
      <c r="A27" s="10" t="inlineStr">
        <is>
          <t>Baisse prime SST An2</t>
        </is>
      </c>
      <c r="B27" s="13" t="inlineStr">
        <is>
          <t>0%</t>
        </is>
      </c>
      <c r="C27" s="13" t="inlineStr">
        <is>
          <t>5%</t>
        </is>
      </c>
      <c r="D27" s="13" t="inlineStr">
        <is>
          <t>10%</t>
        </is>
      </c>
      <c r="E27" s="10" t="inlineStr">
        <is>
          <t>Effet différé 2-3 ans</t>
        </is>
      </c>
    </row>
    <row r="28">
      <c r="A28" s="10" t="inlineStr">
        <is>
          <t>Baisse prime SST An3</t>
        </is>
      </c>
      <c r="B28" s="13" t="inlineStr">
        <is>
          <t>5%</t>
        </is>
      </c>
      <c r="C28" s="13" t="inlineStr">
        <is>
          <t>10%</t>
        </is>
      </c>
      <c r="D28" s="13" t="inlineStr">
        <is>
          <t>15%</t>
        </is>
      </c>
      <c r="E28" s="10" t="inlineStr">
        <is>
          <t>Si sinistralité prouvée en baisse</t>
        </is>
      </c>
    </row>
    <row r="31">
      <c r="A31" s="14" t="inlineStr">
        <is>
          <t>COÛT TOTAL DE POSSESSION (CTP)</t>
        </is>
      </c>
    </row>
    <row r="32">
      <c r="A32" s="9" t="inlineStr">
        <is>
          <t>Poste</t>
        </is>
      </c>
      <c r="B32" s="9" t="inlineStr">
        <is>
          <t>An 0 (CAPEX)</t>
        </is>
      </c>
      <c r="C32" s="9" t="inlineStr">
        <is>
          <t>An 1</t>
        </is>
      </c>
      <c r="D32" s="9" t="inlineStr">
        <is>
          <t>An 2</t>
        </is>
      </c>
      <c r="E32" s="9" t="inlineStr">
        <is>
          <t>An 3</t>
        </is>
      </c>
      <c r="F32" s="9" t="inlineStr">
        <is>
          <t>Commentaire</t>
        </is>
      </c>
    </row>
    <row r="33">
      <c r="A33" s="10" t="inlineStr">
        <is>
          <t>Licence RoboSafe (par cellule)</t>
        </is>
      </c>
      <c r="B33" s="15" t="n">
        <v>0</v>
      </c>
      <c r="C33" s="15" t="n">
        <v>8000</v>
      </c>
      <c r="D33" s="15" t="n">
        <v>8000</v>
      </c>
      <c r="E33" s="15" t="n">
        <v>8000</v>
      </c>
      <c r="F33" s="10" t="inlineStr">
        <is>
          <t>Redevance annuelle</t>
        </is>
      </c>
    </row>
    <row r="34">
      <c r="A34" s="10" t="inlineStr">
        <is>
          <t>Intégration initiale</t>
        </is>
      </c>
      <c r="B34" s="15" t="n">
        <v>15000</v>
      </c>
      <c r="C34" s="15" t="n">
        <v>0</v>
      </c>
      <c r="D34" s="15" t="n">
        <v>0</v>
      </c>
      <c r="E34" s="15" t="n">
        <v>0</v>
      </c>
      <c r="F34" s="10" t="inlineStr">
        <is>
          <t>Ingénierie + prog + validation</t>
        </is>
      </c>
    </row>
    <row r="35">
      <c r="A35" s="10" t="inlineStr">
        <is>
          <t>Capteurs additionnels (vision)</t>
        </is>
      </c>
      <c r="B35" s="15" t="n">
        <v>12000</v>
      </c>
      <c r="C35" s="15" t="n">
        <v>0</v>
      </c>
      <c r="D35" s="15" t="n">
        <v>0</v>
      </c>
      <c r="E35" s="15" t="n">
        <v>0</v>
      </c>
      <c r="F35" s="10" t="inlineStr">
        <is>
          <t>Caméras + installation</t>
        </is>
      </c>
    </row>
    <row r="36">
      <c r="A36" s="10" t="inlineStr">
        <is>
          <t>Capteurs fumées (si soudage)</t>
        </is>
      </c>
      <c r="B36" s="15" t="n">
        <v>5000</v>
      </c>
      <c r="C36" s="15" t="n">
        <v>500</v>
      </c>
      <c r="D36" s="15" t="n">
        <v>500</v>
      </c>
      <c r="E36" s="15" t="n">
        <v>500</v>
      </c>
      <c r="F36" s="10" t="inlineStr">
        <is>
          <t>Capteur + calibration annuelle</t>
        </is>
      </c>
    </row>
    <row r="37">
      <c r="A37" s="10" t="inlineStr">
        <is>
          <t>Formation initiale</t>
        </is>
      </c>
      <c r="B37" s="15" t="n">
        <v>4000</v>
      </c>
      <c r="C37" s="15" t="n">
        <v>0</v>
      </c>
      <c r="D37" s="15" t="n">
        <v>0</v>
      </c>
      <c r="E37" s="15" t="n">
        <v>0</v>
      </c>
      <c r="F37" s="10" t="inlineStr">
        <is>
          <t>4 modules × 8h</t>
        </is>
      </c>
    </row>
    <row r="38">
      <c r="A38" s="10" t="inlineStr">
        <is>
          <t>Formation continue</t>
        </is>
      </c>
      <c r="B38" s="15" t="n">
        <v>0</v>
      </c>
      <c r="C38" s="15" t="n">
        <v>1000</v>
      </c>
      <c r="D38" s="15" t="n">
        <v>1000</v>
      </c>
      <c r="E38" s="15" t="n">
        <v>1000</v>
      </c>
      <c r="F38" s="10" t="inlineStr">
        <is>
          <t>Recyclage annuel</t>
        </is>
      </c>
    </row>
    <row r="39">
      <c r="A39" s="10" t="inlineStr">
        <is>
          <t>Support &amp; maintenance</t>
        </is>
      </c>
      <c r="B39" s="15" t="n">
        <v>0</v>
      </c>
      <c r="C39" s="15" t="n">
        <v>2000</v>
      </c>
      <c r="D39" s="15" t="n">
        <v>2000</v>
      </c>
      <c r="E39" s="15" t="n">
        <v>2000</v>
      </c>
      <c r="F39" s="10" t="inlineStr">
        <is>
          <t>Contrat support</t>
        </is>
      </c>
    </row>
    <row r="40">
      <c r="A40" s="10" t="inlineStr">
        <is>
          <t>Temps projet interne</t>
        </is>
      </c>
      <c r="B40" s="15" t="n">
        <v>8000</v>
      </c>
      <c r="C40" s="15" t="n">
        <v>2000</v>
      </c>
      <c r="D40" s="15" t="n">
        <v>1000</v>
      </c>
      <c r="E40" s="15" t="n">
        <v>1000</v>
      </c>
      <c r="F40" s="10" t="inlineStr">
        <is>
          <t>Heures HSE/IT/Prod</t>
        </is>
      </c>
    </row>
    <row r="41">
      <c r="A41" s="16" t="inlineStr">
        <is>
          <t>TOTAL CTP</t>
        </is>
      </c>
      <c r="B41" s="16">
        <f>SUM(B33:B40)</f>
        <v/>
      </c>
      <c r="C41" s="16">
        <f>SUM(C33:C40)</f>
        <v/>
      </c>
      <c r="D41" s="16">
        <f>SUM(D33:D40)</f>
        <v/>
      </c>
      <c r="E41" s="16">
        <f>SUM(E33:E40)</f>
        <v/>
      </c>
      <c r="F41" s="16" t="inlineStr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30" customWidth="1" min="7" max="7"/>
  </cols>
  <sheetData>
    <row r="1">
      <c r="A1" s="7" t="inlineStr">
        <is>
          <t>MODÈLE ROI ROBOSAFE - PROJECTION 36 MOIS</t>
        </is>
      </c>
    </row>
    <row r="3">
      <c r="A3" s="17" t="inlineStr">
        <is>
          <t>SCÉNARIO PRUDENT</t>
        </is>
      </c>
    </row>
    <row r="4">
      <c r="A4" s="9" t="inlineStr">
        <is>
          <t>Poste</t>
        </is>
      </c>
      <c r="B4" s="9" t="inlineStr">
        <is>
          <t>Baseline</t>
        </is>
      </c>
      <c r="C4" s="9" t="inlineStr">
        <is>
          <t>An 1</t>
        </is>
      </c>
      <c r="D4" s="9" t="inlineStr">
        <is>
          <t>An 2</t>
        </is>
      </c>
      <c r="E4" s="9" t="inlineStr">
        <is>
          <t>An 3</t>
        </is>
      </c>
      <c r="F4" s="9" t="inlineStr">
        <is>
          <t>Total 3 ans</t>
        </is>
      </c>
      <c r="G4" s="9" t="inlineStr">
        <is>
          <t>Formule</t>
        </is>
      </c>
    </row>
    <row r="5">
      <c r="A5" s="16" t="inlineStr">
        <is>
          <t>BÉNÉFICES</t>
        </is>
      </c>
      <c r="B5" s="16" t="inlineStr"/>
      <c r="C5" s="16" t="inlineStr"/>
      <c r="D5" s="16" t="inlineStr"/>
      <c r="E5" s="16" t="inlineStr"/>
      <c r="F5" s="16" t="inlineStr"/>
      <c r="G5" s="16" t="inlineStr"/>
    </row>
    <row r="6">
      <c r="A6" s="10" t="inlineStr">
        <is>
          <t>Accidents évités</t>
        </is>
      </c>
      <c r="B6" s="10" t="n">
        <v>4</v>
      </c>
      <c r="C6" s="18" t="n">
        <v>0.6</v>
      </c>
      <c r="D6" s="18" t="n">
        <v>1</v>
      </c>
      <c r="E6" s="18" t="n">
        <v>1.2</v>
      </c>
      <c r="F6" s="10">
        <f>SUM(C6:E6)</f>
        <v/>
      </c>
      <c r="G6" s="10" t="inlineStr">
        <is>
          <t>Baseline × Taux réduction</t>
        </is>
      </c>
    </row>
    <row r="7">
      <c r="A7" s="10" t="inlineStr">
        <is>
          <t>Jours évités</t>
        </is>
      </c>
      <c r="B7" s="10" t="n">
        <v>45</v>
      </c>
      <c r="C7" s="18" t="n">
        <v>9</v>
      </c>
      <c r="D7" s="18" t="n">
        <v>13.5</v>
      </c>
      <c r="E7" s="18" t="n">
        <v>15.75</v>
      </c>
      <c r="F7" s="10">
        <f>SUM(C7:E7)</f>
        <v/>
      </c>
      <c r="G7" s="10" t="inlineStr">
        <is>
          <t>Baseline × Taux réduction</t>
        </is>
      </c>
    </row>
    <row r="8">
      <c r="A8" s="10" t="inlineStr">
        <is>
          <t>Économie jours ($/an)</t>
        </is>
      </c>
      <c r="B8" s="10" t="inlineStr"/>
      <c r="C8" s="18" t="n">
        <v>4050</v>
      </c>
      <c r="D8" s="18" t="n">
        <v>6075</v>
      </c>
      <c r="E8" s="18" t="n">
        <v>7088</v>
      </c>
      <c r="F8" s="10">
        <f>SUM(C8:E8)</f>
        <v/>
      </c>
      <c r="G8" s="10" t="inlineStr">
        <is>
          <t>Jours × 450$/jour</t>
        </is>
      </c>
    </row>
    <row r="9">
      <c r="A9" s="10" t="inlineStr">
        <is>
          <t>Sinistres évités valorisés</t>
        </is>
      </c>
      <c r="B9" s="10" t="inlineStr"/>
      <c r="C9" s="18" t="n">
        <v>15000</v>
      </c>
      <c r="D9" s="18" t="n">
        <v>25000</v>
      </c>
      <c r="E9" s="18" t="n">
        <v>30000</v>
      </c>
      <c r="F9" s="10">
        <f>SUM(C9:E9)</f>
        <v/>
      </c>
      <c r="G9" s="10" t="inlineStr">
        <is>
          <t>Accidents × 25 000$</t>
        </is>
      </c>
    </row>
    <row r="10">
      <c r="A10" s="10" t="inlineStr">
        <is>
          <t>Gain OEE valorisé</t>
        </is>
      </c>
      <c r="B10" s="10" t="inlineStr"/>
      <c r="C10" s="18" t="n">
        <v>20000</v>
      </c>
      <c r="D10" s="18" t="n">
        <v>40000</v>
      </c>
      <c r="E10" s="18" t="n">
        <v>40000</v>
      </c>
      <c r="F10" s="10">
        <f>SUM(C10:E10)</f>
        <v/>
      </c>
      <c r="G10" s="10" t="inlineStr">
        <is>
          <t>ΔOEE × 4000h × 500$/h</t>
        </is>
      </c>
    </row>
    <row r="11">
      <c r="A11" s="10" t="inlineStr">
        <is>
          <t>Économie prime SST</t>
        </is>
      </c>
      <c r="B11" s="10" t="inlineStr"/>
      <c r="C11" s="18" t="n">
        <v>0</v>
      </c>
      <c r="D11" s="18" t="n">
        <v>0</v>
      </c>
      <c r="E11" s="18" t="n">
        <v>750</v>
      </c>
      <c r="F11" s="10">
        <f>SUM(C11:E11)</f>
        <v/>
      </c>
      <c r="G11" s="10" t="inlineStr">
        <is>
          <t>Prime × % baisse (An3)</t>
        </is>
      </c>
    </row>
    <row r="12">
      <c r="A12" s="19" t="inlineStr">
        <is>
          <t>TOTAL BÉNÉFICES</t>
        </is>
      </c>
      <c r="B12" s="19" t="inlineStr"/>
      <c r="C12" s="19">
        <f>SUM(C8:C11)</f>
        <v/>
      </c>
      <c r="D12" s="19">
        <f>SUM(D8:D11)</f>
        <v/>
      </c>
      <c r="E12" s="19">
        <f>SUM(E8:E11)</f>
        <v/>
      </c>
      <c r="F12" s="19">
        <f>SUM(C12:E12)</f>
        <v/>
      </c>
      <c r="G12" s="19" t="inlineStr"/>
    </row>
    <row r="13">
      <c r="A13" s="10" t="inlineStr"/>
      <c r="B13" s="10" t="inlineStr"/>
      <c r="C13" s="10" t="inlineStr"/>
      <c r="D13" s="10" t="inlineStr"/>
      <c r="E13" s="10" t="inlineStr"/>
      <c r="F13" s="10" t="inlineStr"/>
      <c r="G13" s="10" t="inlineStr"/>
    </row>
    <row r="14">
      <c r="A14" s="16" t="inlineStr">
        <is>
          <t>COÛTS (CTP)</t>
        </is>
      </c>
      <c r="B14" s="16" t="inlineStr"/>
      <c r="C14" s="16" t="inlineStr"/>
      <c r="D14" s="16" t="inlineStr"/>
      <c r="E14" s="16" t="inlineStr"/>
      <c r="F14" s="16" t="inlineStr"/>
      <c r="G14" s="16" t="inlineStr"/>
    </row>
    <row r="15">
      <c r="A15" s="10" t="inlineStr">
        <is>
          <t>CAPEX (An 0)</t>
        </is>
      </c>
      <c r="B15" s="10" t="n">
        <v>44000</v>
      </c>
      <c r="C15" s="10" t="inlineStr"/>
      <c r="D15" s="10" t="inlineStr"/>
      <c r="E15" s="10" t="inlineStr"/>
      <c r="F15" s="10" t="inlineStr"/>
      <c r="G15" s="10" t="inlineStr">
        <is>
          <t>Intégration + capteurs + formation</t>
        </is>
      </c>
    </row>
    <row r="16">
      <c r="A16" s="10" t="inlineStr">
        <is>
          <t>OPEX annuel</t>
        </is>
      </c>
      <c r="B16" s="10" t="inlineStr"/>
      <c r="C16" s="18" t="n">
        <v>11500</v>
      </c>
      <c r="D16" s="18" t="n">
        <v>11500</v>
      </c>
      <c r="E16" s="18" t="n">
        <v>11500</v>
      </c>
      <c r="F16" s="10">
        <f>SUM(C16:E16)</f>
        <v/>
      </c>
      <c r="G16" s="10" t="inlineStr">
        <is>
          <t>Licence + support + formation</t>
        </is>
      </c>
    </row>
    <row r="17">
      <c r="A17" s="19" t="inlineStr">
        <is>
          <t>TOTAL COÛTS</t>
        </is>
      </c>
      <c r="B17" s="19" t="n">
        <v>44000</v>
      </c>
      <c r="C17" s="19" t="n">
        <v>11500</v>
      </c>
      <c r="D17" s="19" t="n">
        <v>11500</v>
      </c>
      <c r="E17" s="19" t="n">
        <v>11500</v>
      </c>
      <c r="F17" s="19">
        <f>F15+F16</f>
        <v/>
      </c>
      <c r="G17" s="19" t="inlineStr"/>
    </row>
    <row r="18">
      <c r="A18" s="10" t="inlineStr"/>
      <c r="B18" s="10" t="inlineStr"/>
      <c r="C18" s="10" t="inlineStr"/>
      <c r="D18" s="10" t="inlineStr"/>
      <c r="E18" s="10" t="inlineStr"/>
      <c r="F18" s="10" t="inlineStr"/>
      <c r="G18" s="10" t="inlineStr"/>
    </row>
    <row r="19">
      <c r="A19" s="16" t="inlineStr">
        <is>
          <t>RÉSULTATS</t>
        </is>
      </c>
      <c r="B19" s="16" t="inlineStr"/>
      <c r="C19" s="16" t="inlineStr"/>
      <c r="D19" s="16" t="inlineStr"/>
      <c r="E19" s="16" t="inlineStr"/>
      <c r="F19" s="16" t="inlineStr"/>
      <c r="G19" s="16" t="inlineStr"/>
    </row>
    <row r="20">
      <c r="A20" s="10" t="inlineStr">
        <is>
          <t>Cash flow annuel</t>
        </is>
      </c>
      <c r="B20" s="10" t="inlineStr"/>
      <c r="C20" s="10">
        <f>C12-C16</f>
        <v/>
      </c>
      <c r="D20" s="10">
        <f>D12-D16</f>
        <v/>
      </c>
      <c r="E20" s="10">
        <f>E12-E16</f>
        <v/>
      </c>
      <c r="F20" s="10">
        <f>SUM(C20:E20)</f>
        <v/>
      </c>
      <c r="G20" s="10" t="inlineStr">
        <is>
          <t>Bénéfices - OPEX</t>
        </is>
      </c>
    </row>
    <row r="21">
      <c r="A21" s="10" t="inlineStr">
        <is>
          <t>Cash flow cumulé</t>
        </is>
      </c>
      <c r="B21" s="10" t="n">
        <v>-44000</v>
      </c>
      <c r="C21" s="10">
        <f>B21+C20</f>
        <v/>
      </c>
      <c r="D21" s="10">
        <f>C21+D20</f>
        <v/>
      </c>
      <c r="E21" s="10">
        <f>D21+E20</f>
        <v/>
      </c>
      <c r="F21" s="10" t="inlineStr"/>
      <c r="G21" s="10" t="inlineStr"/>
    </row>
    <row r="22">
      <c r="A22" s="10" t="inlineStr">
        <is>
          <t>ROI annuel</t>
        </is>
      </c>
      <c r="B22" s="10" t="inlineStr"/>
      <c r="C22" s="10">
        <f>C20/C16</f>
        <v/>
      </c>
      <c r="D22" s="10">
        <f>D20/D16</f>
        <v/>
      </c>
      <c r="E22" s="10">
        <f>E20/E16</f>
        <v/>
      </c>
      <c r="F22" s="10" t="inlineStr"/>
      <c r="G22" s="10" t="inlineStr">
        <is>
          <t>(Bénéf-Coût)/Coût</t>
        </is>
      </c>
    </row>
    <row r="23">
      <c r="A23" s="10" t="inlineStr">
        <is>
          <t>ROI cumulé</t>
        </is>
      </c>
      <c r="B23" s="10" t="inlineStr"/>
      <c r="C23" s="10">
        <f>(C21+44000-44000)/(44000+C16)</f>
        <v/>
      </c>
      <c r="D23" s="10">
        <f>(D21+44000)/(44000+C16+D16)</f>
        <v/>
      </c>
      <c r="E23" s="10">
        <f>(E21+44000)/(44000+SUM(C16:E16))</f>
        <v/>
      </c>
      <c r="F23" s="10" t="inlineStr"/>
      <c r="G23" s="10" t="inlineStr"/>
    </row>
    <row r="30">
      <c r="A30" s="20" t="inlineStr">
        <is>
          <t>SCÉNARIO NOMINAL</t>
        </is>
      </c>
    </row>
    <row r="31">
      <c r="A31" s="9" t="inlineStr">
        <is>
          <t>Poste</t>
        </is>
      </c>
      <c r="B31" s="9" t="inlineStr">
        <is>
          <t>Baseline</t>
        </is>
      </c>
      <c r="C31" s="9" t="inlineStr">
        <is>
          <t>An 1</t>
        </is>
      </c>
      <c r="D31" s="9" t="inlineStr">
        <is>
          <t>An 2</t>
        </is>
      </c>
      <c r="E31" s="9" t="inlineStr">
        <is>
          <t>An 3</t>
        </is>
      </c>
      <c r="F31" s="9" t="inlineStr">
        <is>
          <t>Total 3 ans</t>
        </is>
      </c>
      <c r="G31" s="9" t="inlineStr">
        <is>
          <t>Formule</t>
        </is>
      </c>
    </row>
    <row r="32">
      <c r="A32" s="21" t="inlineStr">
        <is>
          <t>BÉNÉFICES</t>
        </is>
      </c>
      <c r="B32" s="21" t="inlineStr"/>
      <c r="C32" s="21" t="inlineStr"/>
      <c r="D32" s="21" t="inlineStr"/>
      <c r="E32" s="21" t="inlineStr"/>
      <c r="F32" s="21" t="inlineStr"/>
      <c r="G32" s="21" t="inlineStr"/>
    </row>
    <row r="33">
      <c r="A33" s="10" t="inlineStr">
        <is>
          <t>Accidents évités</t>
        </is>
      </c>
      <c r="B33" s="10" t="n">
        <v>4</v>
      </c>
      <c r="C33" s="18" t="n">
        <v>1</v>
      </c>
      <c r="D33" s="18" t="n">
        <v>1.4</v>
      </c>
      <c r="E33" s="18" t="n">
        <v>1.6</v>
      </c>
      <c r="F33" s="10">
        <f>SUM(C33:E33)</f>
        <v/>
      </c>
      <c r="G33" s="10" t="inlineStr"/>
    </row>
    <row r="34">
      <c r="A34" s="10" t="inlineStr">
        <is>
          <t>Jours évités</t>
        </is>
      </c>
      <c r="B34" s="10" t="n">
        <v>45</v>
      </c>
      <c r="C34" s="18" t="n">
        <v>13.5</v>
      </c>
      <c r="D34" s="18" t="n">
        <v>18</v>
      </c>
      <c r="E34" s="18" t="n">
        <v>20.25</v>
      </c>
      <c r="F34" s="10">
        <f>SUM(C34:E34)</f>
        <v/>
      </c>
      <c r="G34" s="10" t="inlineStr"/>
    </row>
    <row r="35">
      <c r="A35" s="10" t="inlineStr">
        <is>
          <t>Économie jours ($/an)</t>
        </is>
      </c>
      <c r="B35" s="10" t="inlineStr"/>
      <c r="C35" s="18" t="n">
        <v>6075</v>
      </c>
      <c r="D35" s="18" t="n">
        <v>8100</v>
      </c>
      <c r="E35" s="18" t="n">
        <v>9113</v>
      </c>
      <c r="F35" s="10">
        <f>SUM(C35:E35)</f>
        <v/>
      </c>
      <c r="G35" s="10" t="inlineStr"/>
    </row>
    <row r="36">
      <c r="A36" s="10" t="inlineStr">
        <is>
          <t>Sinistres évités valorisés</t>
        </is>
      </c>
      <c r="B36" s="10" t="inlineStr"/>
      <c r="C36" s="18" t="n">
        <v>25000</v>
      </c>
      <c r="D36" s="18" t="n">
        <v>35000</v>
      </c>
      <c r="E36" s="18" t="n">
        <v>40000</v>
      </c>
      <c r="F36" s="10">
        <f>SUM(C36:E36)</f>
        <v/>
      </c>
      <c r="G36" s="10" t="inlineStr"/>
    </row>
    <row r="37">
      <c r="A37" s="10" t="inlineStr">
        <is>
          <t>Gain OEE valorisé</t>
        </is>
      </c>
      <c r="B37" s="10" t="inlineStr"/>
      <c r="C37" s="18" t="n">
        <v>40000</v>
      </c>
      <c r="D37" s="18" t="n">
        <v>60000</v>
      </c>
      <c r="E37" s="18" t="n">
        <v>80000</v>
      </c>
      <c r="F37" s="10">
        <f>SUM(C37:E37)</f>
        <v/>
      </c>
      <c r="G37" s="10" t="inlineStr"/>
    </row>
    <row r="38">
      <c r="A38" s="10" t="inlineStr">
        <is>
          <t>Économie prime SST</t>
        </is>
      </c>
      <c r="B38" s="10" t="inlineStr"/>
      <c r="C38" s="18" t="n">
        <v>0</v>
      </c>
      <c r="D38" s="18" t="n">
        <v>750</v>
      </c>
      <c r="E38" s="18" t="n">
        <v>1500</v>
      </c>
      <c r="F38" s="10">
        <f>SUM(C38:E38)</f>
        <v/>
      </c>
      <c r="G38" s="10" t="inlineStr"/>
    </row>
    <row r="39">
      <c r="A39" s="19" t="inlineStr">
        <is>
          <t>TOTAL BÉNÉFICES</t>
        </is>
      </c>
      <c r="B39" s="19" t="inlineStr"/>
      <c r="C39" s="19">
        <f>SUM(C35:C38)</f>
        <v/>
      </c>
      <c r="D39" s="19">
        <f>SUM(D35:D38)</f>
        <v/>
      </c>
      <c r="E39" s="19">
        <f>SUM(E35:E38)</f>
        <v/>
      </c>
      <c r="F39" s="19">
        <f>SUM(C39:E39)</f>
        <v/>
      </c>
      <c r="G39" s="19" t="inlineStr"/>
    </row>
    <row r="40">
      <c r="A40" s="10" t="inlineStr"/>
      <c r="B40" s="10" t="inlineStr"/>
      <c r="C40" s="10" t="inlineStr"/>
      <c r="D40" s="10" t="inlineStr"/>
      <c r="E40" s="10" t="inlineStr"/>
      <c r="F40" s="10" t="inlineStr"/>
      <c r="G40" s="10" t="inlineStr"/>
    </row>
    <row r="41">
      <c r="A41" s="21" t="inlineStr">
        <is>
          <t>COÛTS (CTP)</t>
        </is>
      </c>
      <c r="B41" s="21" t="inlineStr"/>
      <c r="C41" s="21" t="inlineStr"/>
      <c r="D41" s="21" t="inlineStr"/>
      <c r="E41" s="21" t="inlineStr"/>
      <c r="F41" s="21" t="inlineStr"/>
      <c r="G41" s="21" t="inlineStr"/>
    </row>
    <row r="42">
      <c r="A42" s="10" t="inlineStr">
        <is>
          <t>CAPEX (An 0)</t>
        </is>
      </c>
      <c r="B42" s="10" t="n">
        <v>44000</v>
      </c>
      <c r="C42" s="10" t="inlineStr"/>
      <c r="D42" s="10" t="inlineStr"/>
      <c r="E42" s="10" t="inlineStr"/>
      <c r="F42" s="10" t="inlineStr"/>
      <c r="G42" s="10" t="inlineStr"/>
    </row>
    <row r="43">
      <c r="A43" s="10" t="inlineStr">
        <is>
          <t>OPEX annuel</t>
        </is>
      </c>
      <c r="B43" s="10" t="inlineStr"/>
      <c r="C43" s="18" t="n">
        <v>11500</v>
      </c>
      <c r="D43" s="18" t="n">
        <v>11500</v>
      </c>
      <c r="E43" s="18" t="n">
        <v>11500</v>
      </c>
      <c r="F43" s="10">
        <f>SUM(C43:E43)</f>
        <v/>
      </c>
      <c r="G43" s="10" t="inlineStr"/>
    </row>
    <row r="44">
      <c r="A44" s="19" t="inlineStr">
        <is>
          <t>TOTAL COÛTS</t>
        </is>
      </c>
      <c r="B44" s="19" t="n">
        <v>44000</v>
      </c>
      <c r="C44" s="19" t="n">
        <v>11500</v>
      </c>
      <c r="D44" s="19" t="n">
        <v>11500</v>
      </c>
      <c r="E44" s="19" t="n">
        <v>11500</v>
      </c>
      <c r="F44" s="19">
        <f>F42+F43</f>
        <v/>
      </c>
      <c r="G44" s="19" t="inlineStr"/>
    </row>
    <row r="45">
      <c r="A45" s="10" t="inlineStr"/>
      <c r="B45" s="10" t="inlineStr"/>
      <c r="C45" s="10" t="inlineStr"/>
      <c r="D45" s="10" t="inlineStr"/>
      <c r="E45" s="10" t="inlineStr"/>
      <c r="F45" s="10" t="inlineStr"/>
      <c r="G45" s="10" t="inlineStr"/>
    </row>
    <row r="46">
      <c r="A46" s="21" t="inlineStr">
        <is>
          <t>RÉSULTATS</t>
        </is>
      </c>
      <c r="B46" s="21" t="inlineStr"/>
      <c r="C46" s="21" t="inlineStr"/>
      <c r="D46" s="21" t="inlineStr"/>
      <c r="E46" s="21" t="inlineStr"/>
      <c r="F46" s="21" t="inlineStr"/>
      <c r="G46" s="21" t="inlineStr"/>
    </row>
    <row r="47">
      <c r="A47" s="10" t="inlineStr">
        <is>
          <t>Cash flow annuel</t>
        </is>
      </c>
      <c r="B47" s="10" t="inlineStr"/>
      <c r="C47" s="10">
        <f>C39-C43</f>
        <v/>
      </c>
      <c r="D47" s="10">
        <f>D39-D43</f>
        <v/>
      </c>
      <c r="E47" s="10">
        <f>E39-E43</f>
        <v/>
      </c>
      <c r="F47" s="10">
        <f>SUM(C47:E47)</f>
        <v/>
      </c>
      <c r="G47" s="10" t="inlineStr"/>
    </row>
    <row r="48">
      <c r="A48" s="10" t="inlineStr">
        <is>
          <t>Cash flow cumulé</t>
        </is>
      </c>
      <c r="B48" s="10" t="n">
        <v>-44000</v>
      </c>
      <c r="C48" s="10">
        <f>B48+C47</f>
        <v/>
      </c>
      <c r="D48" s="10">
        <f>C48+D47</f>
        <v/>
      </c>
      <c r="E48" s="10">
        <f>D48+E47</f>
        <v/>
      </c>
      <c r="F48" s="10" t="inlineStr"/>
      <c r="G48" s="10" t="inlineStr"/>
    </row>
    <row r="49">
      <c r="A49" s="10" t="inlineStr">
        <is>
          <t>ROI annuel</t>
        </is>
      </c>
      <c r="B49" s="10" t="inlineStr"/>
      <c r="C49" s="10">
        <f>C47/C43</f>
        <v/>
      </c>
      <c r="D49" s="10">
        <f>D47/D43</f>
        <v/>
      </c>
      <c r="E49" s="10">
        <f>E47/E43</f>
        <v/>
      </c>
      <c r="F49" s="10" t="inlineStr"/>
      <c r="G49" s="10" t="inlineStr"/>
    </row>
    <row r="54">
      <c r="A54" s="22" t="inlineStr">
        <is>
          <t>SCÉNARIO AMBITIEUX</t>
        </is>
      </c>
    </row>
    <row r="55">
      <c r="A55" s="9" t="inlineStr">
        <is>
          <t>Poste</t>
        </is>
      </c>
      <c r="B55" s="9" t="inlineStr">
        <is>
          <t>Baseline</t>
        </is>
      </c>
      <c r="C55" s="9" t="inlineStr">
        <is>
          <t>An 1</t>
        </is>
      </c>
      <c r="D55" s="9" t="inlineStr">
        <is>
          <t>An 2</t>
        </is>
      </c>
      <c r="E55" s="9" t="inlineStr">
        <is>
          <t>An 3</t>
        </is>
      </c>
      <c r="F55" s="9" t="inlineStr">
        <is>
          <t>Total 3 ans</t>
        </is>
      </c>
      <c r="G55" s="9" t="inlineStr">
        <is>
          <t>Formule</t>
        </is>
      </c>
    </row>
    <row r="56">
      <c r="A56" s="23" t="inlineStr">
        <is>
          <t>BÉNÉFICES</t>
        </is>
      </c>
      <c r="B56" s="23" t="inlineStr"/>
      <c r="C56" s="23" t="inlineStr"/>
      <c r="D56" s="23" t="inlineStr"/>
      <c r="E56" s="23" t="inlineStr"/>
      <c r="F56" s="23" t="inlineStr"/>
      <c r="G56" s="23" t="inlineStr"/>
    </row>
    <row r="57">
      <c r="A57" s="10" t="inlineStr">
        <is>
          <t>Accidents évités</t>
        </is>
      </c>
      <c r="B57" s="10" t="n">
        <v>4</v>
      </c>
      <c r="C57" s="18" t="n">
        <v>1.4</v>
      </c>
      <c r="D57" s="18" t="n">
        <v>1.8</v>
      </c>
      <c r="E57" s="18" t="n">
        <v>2</v>
      </c>
      <c r="F57" s="10">
        <f>SUM(C57:E57)</f>
        <v/>
      </c>
      <c r="G57" s="10" t="inlineStr"/>
    </row>
    <row r="58">
      <c r="A58" s="10" t="inlineStr">
        <is>
          <t>Jours évités</t>
        </is>
      </c>
      <c r="B58" s="10" t="n">
        <v>45</v>
      </c>
      <c r="C58" s="18" t="n">
        <v>18</v>
      </c>
      <c r="D58" s="18" t="n">
        <v>22.5</v>
      </c>
      <c r="E58" s="18" t="n">
        <v>24.75</v>
      </c>
      <c r="F58" s="10">
        <f>SUM(C58:E58)</f>
        <v/>
      </c>
      <c r="G58" s="10" t="inlineStr"/>
    </row>
    <row r="59">
      <c r="A59" s="10" t="inlineStr">
        <is>
          <t>Économie jours ($/an)</t>
        </is>
      </c>
      <c r="B59" s="10" t="inlineStr"/>
      <c r="C59" s="18" t="n">
        <v>8100</v>
      </c>
      <c r="D59" s="18" t="n">
        <v>10125</v>
      </c>
      <c r="E59" s="18" t="n">
        <v>11138</v>
      </c>
      <c r="F59" s="10">
        <f>SUM(C59:E59)</f>
        <v/>
      </c>
      <c r="G59" s="10" t="inlineStr"/>
    </row>
    <row r="60">
      <c r="A60" s="10" t="inlineStr">
        <is>
          <t>Sinistres évités valorisés</t>
        </is>
      </c>
      <c r="B60" s="10" t="inlineStr"/>
      <c r="C60" s="18" t="n">
        <v>35000</v>
      </c>
      <c r="D60" s="18" t="n">
        <v>45000</v>
      </c>
      <c r="E60" s="18" t="n">
        <v>50000</v>
      </c>
      <c r="F60" s="10">
        <f>SUM(C60:E60)</f>
        <v/>
      </c>
      <c r="G60" s="10" t="inlineStr"/>
    </row>
    <row r="61">
      <c r="A61" s="10" t="inlineStr">
        <is>
          <t>Gain OEE valorisé</t>
        </is>
      </c>
      <c r="B61" s="10" t="inlineStr"/>
      <c r="C61" s="18" t="n">
        <v>60000</v>
      </c>
      <c r="D61" s="18" t="n">
        <v>100000</v>
      </c>
      <c r="E61" s="18" t="n">
        <v>120000</v>
      </c>
      <c r="F61" s="10">
        <f>SUM(C61:E61)</f>
        <v/>
      </c>
      <c r="G61" s="10" t="inlineStr"/>
    </row>
    <row r="62">
      <c r="A62" s="10" t="inlineStr">
        <is>
          <t>Économie prime SST</t>
        </is>
      </c>
      <c r="B62" s="10" t="inlineStr"/>
      <c r="C62" s="18" t="n">
        <v>0</v>
      </c>
      <c r="D62" s="18" t="n">
        <v>1500</v>
      </c>
      <c r="E62" s="18" t="n">
        <v>2250</v>
      </c>
      <c r="F62" s="10">
        <f>SUM(C62:E62)</f>
        <v/>
      </c>
      <c r="G62" s="10" t="inlineStr"/>
    </row>
    <row r="63">
      <c r="A63" s="19" t="inlineStr">
        <is>
          <t>TOTAL BÉNÉFICES</t>
        </is>
      </c>
      <c r="B63" s="19" t="inlineStr"/>
      <c r="C63" s="19">
        <f>SUM(C59:C62)</f>
        <v/>
      </c>
      <c r="D63" s="19">
        <f>SUM(D59:D62)</f>
        <v/>
      </c>
      <c r="E63" s="19">
        <f>SUM(E59:E62)</f>
        <v/>
      </c>
      <c r="F63" s="19">
        <f>SUM(C63:E63)</f>
        <v/>
      </c>
      <c r="G63" s="19" t="inlineStr"/>
    </row>
    <row r="64">
      <c r="A64" s="10" t="inlineStr"/>
      <c r="B64" s="10" t="inlineStr"/>
      <c r="C64" s="10" t="inlineStr"/>
      <c r="D64" s="10" t="inlineStr"/>
      <c r="E64" s="10" t="inlineStr"/>
      <c r="F64" s="10" t="inlineStr"/>
      <c r="G64" s="10" t="inlineStr"/>
    </row>
    <row r="65">
      <c r="A65" s="23" t="inlineStr">
        <is>
          <t>COÛTS (CTP)</t>
        </is>
      </c>
      <c r="B65" s="23" t="inlineStr"/>
      <c r="C65" s="23" t="inlineStr"/>
      <c r="D65" s="23" t="inlineStr"/>
      <c r="E65" s="23" t="inlineStr"/>
      <c r="F65" s="23" t="inlineStr"/>
      <c r="G65" s="23" t="inlineStr"/>
    </row>
    <row r="66">
      <c r="A66" s="10" t="inlineStr">
        <is>
          <t>CAPEX (An 0)</t>
        </is>
      </c>
      <c r="B66" s="10" t="n">
        <v>44000</v>
      </c>
      <c r="C66" s="10" t="inlineStr"/>
      <c r="D66" s="10" t="inlineStr"/>
      <c r="E66" s="10" t="inlineStr"/>
      <c r="F66" s="10" t="inlineStr"/>
      <c r="G66" s="10" t="inlineStr"/>
    </row>
    <row r="67">
      <c r="A67" s="10" t="inlineStr">
        <is>
          <t>OPEX annuel</t>
        </is>
      </c>
      <c r="B67" s="10" t="inlineStr"/>
      <c r="C67" s="18" t="n">
        <v>11500</v>
      </c>
      <c r="D67" s="18" t="n">
        <v>11500</v>
      </c>
      <c r="E67" s="18" t="n">
        <v>11500</v>
      </c>
      <c r="F67" s="10">
        <f>SUM(C67:E67)</f>
        <v/>
      </c>
      <c r="G67" s="10" t="inlineStr"/>
    </row>
    <row r="68">
      <c r="A68" s="19" t="inlineStr">
        <is>
          <t>TOTAL COÛTS</t>
        </is>
      </c>
      <c r="B68" s="19" t="n">
        <v>44000</v>
      </c>
      <c r="C68" s="19" t="n">
        <v>11500</v>
      </c>
      <c r="D68" s="19" t="n">
        <v>11500</v>
      </c>
      <c r="E68" s="19" t="n">
        <v>11500</v>
      </c>
      <c r="F68" s="19">
        <f>F66+F67</f>
        <v/>
      </c>
      <c r="G68" s="19" t="inlineStr"/>
    </row>
    <row r="69">
      <c r="A69" s="10" t="inlineStr"/>
      <c r="B69" s="10" t="inlineStr"/>
      <c r="C69" s="10" t="inlineStr"/>
      <c r="D69" s="10" t="inlineStr"/>
      <c r="E69" s="10" t="inlineStr"/>
      <c r="F69" s="10" t="inlineStr"/>
      <c r="G69" s="10" t="inlineStr"/>
    </row>
    <row r="70">
      <c r="A70" s="23" t="inlineStr">
        <is>
          <t>RÉSULTATS</t>
        </is>
      </c>
      <c r="B70" s="23" t="inlineStr"/>
      <c r="C70" s="23" t="inlineStr"/>
      <c r="D70" s="23" t="inlineStr"/>
      <c r="E70" s="23" t="inlineStr"/>
      <c r="F70" s="23" t="inlineStr"/>
      <c r="G70" s="23" t="inlineStr"/>
    </row>
    <row r="71">
      <c r="A71" s="10" t="inlineStr">
        <is>
          <t>Cash flow annuel</t>
        </is>
      </c>
      <c r="B71" s="10" t="inlineStr"/>
      <c r="C71" s="10">
        <f>C63-C67</f>
        <v/>
      </c>
      <c r="D71" s="10">
        <f>D63-D67</f>
        <v/>
      </c>
      <c r="E71" s="10">
        <f>E63-E67</f>
        <v/>
      </c>
      <c r="F71" s="10">
        <f>SUM(C71:E71)</f>
        <v/>
      </c>
      <c r="G71" s="10" t="inlineStr"/>
    </row>
    <row r="72">
      <c r="A72" s="10" t="inlineStr">
        <is>
          <t>Cash flow cumulé</t>
        </is>
      </c>
      <c r="B72" s="10" t="n">
        <v>-44000</v>
      </c>
      <c r="C72" s="10">
        <f>B72+C71</f>
        <v/>
      </c>
      <c r="D72" s="10">
        <f>C72+D71</f>
        <v/>
      </c>
      <c r="E72" s="10">
        <f>D72+E71</f>
        <v/>
      </c>
      <c r="F72" s="10" t="inlineStr"/>
      <c r="G72" s="10" t="inlineStr"/>
    </row>
    <row r="73">
      <c r="A73" s="10" t="inlineStr">
        <is>
          <t>ROI annuel</t>
        </is>
      </c>
      <c r="B73" s="10" t="inlineStr"/>
      <c r="C73" s="10">
        <f>C71/C67</f>
        <v/>
      </c>
      <c r="D73" s="10">
        <f>D71/D67</f>
        <v/>
      </c>
      <c r="E73" s="10">
        <f>E71/E67</f>
        <v/>
      </c>
      <c r="F73" s="10" t="inlineStr"/>
      <c r="G73" s="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0" customWidth="1" min="5" max="5"/>
  </cols>
  <sheetData>
    <row r="1">
      <c r="A1" s="7" t="inlineStr">
        <is>
          <t>SYNTHÈSE COMPARATIVE DES SCÉNARIOS</t>
        </is>
      </c>
    </row>
    <row r="3">
      <c r="A3" s="9" t="inlineStr">
        <is>
          <t>Indicateur</t>
        </is>
      </c>
      <c r="B3" s="9" t="inlineStr">
        <is>
          <t>Prudent</t>
        </is>
      </c>
      <c r="C3" s="9" t="inlineStr">
        <is>
          <t>Nominal</t>
        </is>
      </c>
      <c r="D3" s="9" t="inlineStr">
        <is>
          <t>Ambitieux</t>
        </is>
      </c>
      <c r="E3" s="9" t="inlineStr">
        <is>
          <t>Unité</t>
        </is>
      </c>
    </row>
    <row r="4">
      <c r="A4" s="19" t="inlineStr">
        <is>
          <t>INVESTISSEMENT INITIAL (CAPEX)</t>
        </is>
      </c>
      <c r="B4" s="24" t="n">
        <v>44000</v>
      </c>
      <c r="C4" s="25" t="n">
        <v>44000</v>
      </c>
      <c r="D4" s="26" t="n">
        <v>44000</v>
      </c>
      <c r="E4" s="10" t="inlineStr">
        <is>
          <t>$</t>
        </is>
      </c>
    </row>
    <row r="5">
      <c r="A5" s="19" t="inlineStr">
        <is>
          <t>OPEX annuel moyen</t>
        </is>
      </c>
      <c r="B5" s="24" t="n">
        <v>11500</v>
      </c>
      <c r="C5" s="25" t="n">
        <v>11500</v>
      </c>
      <c r="D5" s="26" t="n">
        <v>11500</v>
      </c>
      <c r="E5" s="10" t="inlineStr">
        <is>
          <t>$</t>
        </is>
      </c>
    </row>
    <row r="6">
      <c r="A6" s="19" t="inlineStr">
        <is>
          <t>CTP 3 ans</t>
        </is>
      </c>
      <c r="B6" s="24" t="n">
        <v>78500</v>
      </c>
      <c r="C6" s="25" t="n">
        <v>78500</v>
      </c>
      <c r="D6" s="26" t="n">
        <v>78500</v>
      </c>
      <c r="E6" s="10" t="inlineStr">
        <is>
          <t>$</t>
        </is>
      </c>
    </row>
    <row r="7">
      <c r="A7" s="10" t="inlineStr"/>
      <c r="B7" s="10" t="inlineStr"/>
      <c r="C7" s="10" t="inlineStr"/>
      <c r="D7" s="10" t="inlineStr"/>
      <c r="E7" s="10" t="inlineStr"/>
    </row>
    <row r="8">
      <c r="A8" s="19" t="inlineStr">
        <is>
          <t>BÉNÉFICES AN 1</t>
        </is>
      </c>
      <c r="B8" s="24" t="n">
        <v>39050</v>
      </c>
      <c r="C8" s="25" t="n">
        <v>71075</v>
      </c>
      <c r="D8" s="26" t="n">
        <v>103100</v>
      </c>
      <c r="E8" s="10" t="inlineStr">
        <is>
          <t>$</t>
        </is>
      </c>
    </row>
    <row r="9">
      <c r="A9" s="19" t="inlineStr">
        <is>
          <t>BÉNÉFICES AN 2</t>
        </is>
      </c>
      <c r="B9" s="24" t="n">
        <v>71075</v>
      </c>
      <c r="C9" s="25" t="n">
        <v>103850</v>
      </c>
      <c r="D9" s="26" t="n">
        <v>156625</v>
      </c>
      <c r="E9" s="10" t="inlineStr">
        <is>
          <t>$</t>
        </is>
      </c>
    </row>
    <row r="10">
      <c r="A10" s="19" t="inlineStr">
        <is>
          <t>BÉNÉFICES AN 3</t>
        </is>
      </c>
      <c r="B10" s="24" t="n">
        <v>77838</v>
      </c>
      <c r="C10" s="25" t="n">
        <v>130613</v>
      </c>
      <c r="D10" s="26" t="n">
        <v>183388</v>
      </c>
      <c r="E10" s="10" t="inlineStr">
        <is>
          <t>$</t>
        </is>
      </c>
    </row>
    <row r="11">
      <c r="A11" s="19" t="inlineStr">
        <is>
          <t>BÉNÉFICES TOTAUX 3 ANS</t>
        </is>
      </c>
      <c r="B11" s="24" t="n">
        <v>187963</v>
      </c>
      <c r="C11" s="25" t="n">
        <v>305538</v>
      </c>
      <c r="D11" s="26" t="n">
        <v>443113</v>
      </c>
      <c r="E11" s="10" t="inlineStr">
        <is>
          <t>$</t>
        </is>
      </c>
    </row>
    <row r="12">
      <c r="A12" s="10" t="inlineStr"/>
      <c r="B12" s="10" t="inlineStr"/>
      <c r="C12" s="10" t="inlineStr"/>
      <c r="D12" s="10" t="inlineStr"/>
      <c r="E12" s="10" t="inlineStr"/>
    </row>
    <row r="13">
      <c r="A13" s="19" t="inlineStr">
        <is>
          <t>CASH FLOW AN 1</t>
        </is>
      </c>
      <c r="B13" s="24" t="n">
        <v>27550</v>
      </c>
      <c r="C13" s="25" t="n">
        <v>59575</v>
      </c>
      <c r="D13" s="26" t="n">
        <v>91600</v>
      </c>
      <c r="E13" s="10" t="inlineStr">
        <is>
          <t>$</t>
        </is>
      </c>
    </row>
    <row r="14">
      <c r="A14" s="19" t="inlineStr">
        <is>
          <t>CASH FLOW AN 2</t>
        </is>
      </c>
      <c r="B14" s="24" t="n">
        <v>59575</v>
      </c>
      <c r="C14" s="25" t="n">
        <v>92350</v>
      </c>
      <c r="D14" s="26" t="n">
        <v>145125</v>
      </c>
      <c r="E14" s="10" t="inlineStr">
        <is>
          <t>$</t>
        </is>
      </c>
    </row>
    <row r="15">
      <c r="A15" s="19" t="inlineStr">
        <is>
          <t>CASH FLOW AN 3</t>
        </is>
      </c>
      <c r="B15" s="24" t="n">
        <v>66338</v>
      </c>
      <c r="C15" s="25" t="n">
        <v>119113</v>
      </c>
      <c r="D15" s="26" t="n">
        <v>171888</v>
      </c>
      <c r="E15" s="10" t="inlineStr">
        <is>
          <t>$</t>
        </is>
      </c>
    </row>
    <row r="16">
      <c r="A16" s="19" t="inlineStr">
        <is>
          <t>CASH FLOW CUMULÉ 3 ANS</t>
        </is>
      </c>
      <c r="B16" s="24" t="n">
        <v>109463</v>
      </c>
      <c r="C16" s="25" t="n">
        <v>227038</v>
      </c>
      <c r="D16" s="26" t="n">
        <v>364613</v>
      </c>
      <c r="E16" s="10" t="inlineStr">
        <is>
          <t>$</t>
        </is>
      </c>
    </row>
    <row r="17">
      <c r="A17" s="10" t="inlineStr"/>
      <c r="B17" s="10" t="inlineStr"/>
      <c r="C17" s="10" t="inlineStr"/>
      <c r="D17" s="10" t="inlineStr"/>
      <c r="E17" s="10" t="inlineStr"/>
    </row>
    <row r="18">
      <c r="A18" s="19" t="inlineStr">
        <is>
          <t>ROI AN 1</t>
        </is>
      </c>
      <c r="B18" s="27" t="inlineStr">
        <is>
          <t>140%</t>
        </is>
      </c>
      <c r="C18" s="28" t="inlineStr">
        <is>
          <t>418%</t>
        </is>
      </c>
      <c r="D18" s="29" t="inlineStr">
        <is>
          <t>697%</t>
        </is>
      </c>
      <c r="E18" s="10" t="inlineStr">
        <is>
          <t>%</t>
        </is>
      </c>
    </row>
    <row r="19">
      <c r="A19" s="19" t="inlineStr">
        <is>
          <t>ROI AN 2</t>
        </is>
      </c>
      <c r="B19" s="27" t="inlineStr">
        <is>
          <t>418%</t>
        </is>
      </c>
      <c r="C19" s="28" t="inlineStr">
        <is>
          <t>703%</t>
        </is>
      </c>
      <c r="D19" s="29" t="inlineStr">
        <is>
          <t>1162%</t>
        </is>
      </c>
      <c r="E19" s="10" t="inlineStr">
        <is>
          <t>%</t>
        </is>
      </c>
    </row>
    <row r="20">
      <c r="A20" s="19" t="inlineStr">
        <is>
          <t>ROI AN 3</t>
        </is>
      </c>
      <c r="B20" s="27" t="inlineStr">
        <is>
          <t>477%</t>
        </is>
      </c>
      <c r="C20" s="28" t="inlineStr">
        <is>
          <t>936%</t>
        </is>
      </c>
      <c r="D20" s="29" t="inlineStr">
        <is>
          <t>1395%</t>
        </is>
      </c>
      <c r="E20" s="10" t="inlineStr">
        <is>
          <t>%</t>
        </is>
      </c>
    </row>
    <row r="21">
      <c r="A21" s="19" t="inlineStr">
        <is>
          <t>ROI CUMULÉ 3 ANS</t>
        </is>
      </c>
      <c r="B21" s="27" t="inlineStr">
        <is>
          <t>139%</t>
        </is>
      </c>
      <c r="C21" s="28" t="inlineStr">
        <is>
          <t>289%</t>
        </is>
      </c>
      <c r="D21" s="29" t="inlineStr">
        <is>
          <t>464%</t>
        </is>
      </c>
      <c r="E21" s="10" t="inlineStr">
        <is>
          <t>%</t>
        </is>
      </c>
    </row>
    <row r="22">
      <c r="A22" s="10" t="inlineStr"/>
      <c r="B22" s="10" t="inlineStr"/>
      <c r="C22" s="10" t="inlineStr"/>
      <c r="D22" s="10" t="inlineStr"/>
      <c r="E22" s="10" t="inlineStr"/>
    </row>
    <row r="23">
      <c r="A23" s="10" t="inlineStr">
        <is>
          <t>PAYBACK PERIOD</t>
        </is>
      </c>
      <c r="B23" s="27" t="n">
        <v>19</v>
      </c>
      <c r="C23" s="28" t="n">
        <v>10</v>
      </c>
      <c r="D23" s="29" t="n">
        <v>6</v>
      </c>
      <c r="E23" s="10" t="inlineStr">
        <is>
          <t>mois</t>
        </is>
      </c>
    </row>
    <row r="24">
      <c r="A24" s="10" t="inlineStr">
        <is>
          <t>NPV (taux 8%)</t>
        </is>
      </c>
      <c r="B24" s="24" t="n">
        <v>85000</v>
      </c>
      <c r="C24" s="25" t="n">
        <v>195000</v>
      </c>
      <c r="D24" s="26" t="n">
        <v>310000</v>
      </c>
      <c r="E24" s="10" t="inlineStr">
        <is>
          <t>$</t>
        </is>
      </c>
    </row>
    <row r="25">
      <c r="A25" s="10" t="inlineStr"/>
      <c r="B25" s="10" t="inlineStr"/>
      <c r="C25" s="10" t="inlineStr"/>
      <c r="D25" s="10" t="inlineStr"/>
      <c r="E25" s="10" t="inlineStr"/>
    </row>
    <row r="26">
      <c r="A26" s="10" t="inlineStr">
        <is>
          <t>ACCIDENTS ÉVITÉS (3 ANS)</t>
        </is>
      </c>
      <c r="B26" s="27" t="n">
        <v>2.8</v>
      </c>
      <c r="C26" s="28" t="n">
        <v>4</v>
      </c>
      <c r="D26" s="29" t="n">
        <v>5.2</v>
      </c>
      <c r="E26" s="10" t="inlineStr">
        <is>
          <t>#</t>
        </is>
      </c>
    </row>
    <row r="27">
      <c r="A27" s="10" t="inlineStr">
        <is>
          <t>JOURS ÉVITÉS (3 ANS)</t>
        </is>
      </c>
      <c r="B27" s="27" t="n">
        <v>38.25</v>
      </c>
      <c r="C27" s="28" t="n">
        <v>51.75</v>
      </c>
      <c r="D27" s="29" t="n">
        <v>65.25</v>
      </c>
      <c r="E27" s="10" t="inlineStr">
        <is>
          <t>jours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5" customWidth="1" min="3" max="3"/>
    <col width="30" customWidth="1" min="4" max="4"/>
    <col width="40" customWidth="1" min="5" max="5"/>
    <col width="20" customWidth="1" min="6" max="6"/>
    <col width="15" customWidth="1" min="7" max="7"/>
  </cols>
  <sheetData>
    <row r="1">
      <c r="A1" s="30" t="inlineStr">
        <is>
          <t>DASHBOARD CFO - ROBOSAFE ROI</t>
        </is>
      </c>
    </row>
    <row r="3">
      <c r="A3" s="31" t="inlineStr">
        <is>
          <t>5 INDICATEURS CLÉS POUR CONVAINCRE UN CFO</t>
        </is>
      </c>
    </row>
    <row r="5">
      <c r="A5" s="9" t="inlineStr">
        <is>
          <t>#</t>
        </is>
      </c>
      <c r="B5" s="9" t="inlineStr">
        <is>
          <t>INDICATEUR</t>
        </is>
      </c>
      <c r="C5" s="9" t="inlineStr">
        <is>
          <t>VALEUR (Scénario Nominal)</t>
        </is>
      </c>
      <c r="D5" s="9" t="inlineStr">
        <is>
          <t>POURQUOI C'EST CONVAINCANT</t>
        </is>
      </c>
    </row>
    <row r="6">
      <c r="A6" s="10" t="inlineStr">
        <is>
          <t>1</t>
        </is>
      </c>
      <c r="B6" s="10" t="inlineStr">
        <is>
          <t>PAYBACK PERIOD</t>
        </is>
      </c>
      <c r="C6" s="32" t="inlineStr">
        <is>
          <t>10 mois</t>
        </is>
      </c>
      <c r="D6" s="10" t="inlineStr">
        <is>
          <t>Récupération rapide: l'investissement est rentabilisé en moins d'un an</t>
        </is>
      </c>
    </row>
    <row r="7">
      <c r="A7" s="10" t="inlineStr">
        <is>
          <t>2</t>
        </is>
      </c>
      <c r="B7" s="10" t="inlineStr">
        <is>
          <t>ROI 3 ANS</t>
        </is>
      </c>
      <c r="C7" s="32" t="inlineStr">
        <is>
          <t>289%</t>
        </is>
      </c>
      <c r="D7" s="10" t="inlineStr">
        <is>
          <t>Pour chaque 1$ investi, l'entreprise récupère 2.89$ de bénéfice net</t>
        </is>
      </c>
    </row>
    <row r="8">
      <c r="A8" s="10" t="inlineStr">
        <is>
          <t>3</t>
        </is>
      </c>
      <c r="B8" s="10" t="inlineStr">
        <is>
          <t>COÛT ÉVITÉ / ACCIDENT</t>
        </is>
      </c>
      <c r="C8" s="32" t="inlineStr">
        <is>
          <t>25 000 $</t>
        </is>
      </c>
      <c r="D8" s="10" t="inlineStr">
        <is>
          <t>Chiffre concret et vérifiable via historique sinistres + assureur</t>
        </is>
      </c>
    </row>
    <row r="9">
      <c r="A9" s="10" t="inlineStr">
        <is>
          <t>4</t>
        </is>
      </c>
      <c r="B9" s="10" t="inlineStr">
        <is>
          <t>RATIO BÉNÉFICE/COÛT</t>
        </is>
      </c>
      <c r="C9" s="32" t="inlineStr">
        <is>
          <t>3.9:1</t>
        </is>
      </c>
      <c r="D9" s="10" t="inlineStr">
        <is>
          <t>Conforme aux études SST (2-6$ économisés par $ investi)</t>
        </is>
      </c>
    </row>
    <row r="10">
      <c r="A10" s="10" t="inlineStr">
        <is>
          <t>5</t>
        </is>
      </c>
      <c r="B10" s="10" t="inlineStr">
        <is>
          <t>JOURS PRODUCTIFS RÉCUPÉRÉS</t>
        </is>
      </c>
      <c r="C10" s="32" t="inlineStr">
        <is>
          <t>52 jours sur 3 ans</t>
        </is>
      </c>
      <c r="D10" s="10" t="inlineStr">
        <is>
          <t>Équivalent à 0.5 ETP récupéré, impact RH tangible</t>
        </is>
      </c>
    </row>
    <row r="13">
      <c r="A13" s="33" t="inlineStr">
        <is>
          <t>ARGUMENTS COMPLÉMENTAIRES (non chiffrés mais significatifs)</t>
        </is>
      </c>
    </row>
    <row r="14">
      <c r="A14" s="34" t="inlineStr">
        <is>
          <t>✓ Conformité réglementaire renforcée (ISO 10218, RSST, CNESST) → réduction risque juridique</t>
        </is>
      </c>
    </row>
    <row r="15">
      <c r="A15" s="34" t="inlineStr">
        <is>
          <t>✓ Traçabilité complète des événements → défense en cas de litige</t>
        </is>
      </c>
    </row>
    <row r="16">
      <c r="A16" s="34" t="inlineStr">
        <is>
          <t>✓ Amélioration image employeur → attractivité recrutement (enjeu PME manufacturières)</t>
        </is>
      </c>
    </row>
    <row r="17">
      <c r="A17" s="34" t="inlineStr">
        <is>
          <t>✓ Réduction stress équipes HSE → libération temps pour prévention proactive</t>
        </is>
      </c>
    </row>
    <row r="18">
      <c r="A18" s="34" t="inlineStr">
        <is>
          <t>✓ Préparation aux exigences futures (AI Act, nouvelles normes ISO 10218:2025)</t>
        </is>
      </c>
    </row>
    <row r="21">
      <c r="A21" s="31" t="inlineStr">
        <is>
          <t>3 GRAPHIQUES À PRÉSENTER AU CFO</t>
        </is>
      </c>
    </row>
    <row r="23">
      <c r="A23" s="9" t="inlineStr">
        <is>
          <t>#</t>
        </is>
      </c>
      <c r="B23" s="9" t="inlineStr">
        <is>
          <t>GRAPHIQUE</t>
        </is>
      </c>
      <c r="C23" s="9" t="inlineStr">
        <is>
          <t>TYPE</t>
        </is>
      </c>
      <c r="D23" s="9" t="inlineStr">
        <is>
          <t>DONNÉES</t>
        </is>
      </c>
      <c r="E23" s="9" t="inlineStr">
        <is>
          <t>MESSAGE CLÉ</t>
        </is>
      </c>
    </row>
    <row r="24">
      <c r="A24" s="10" t="inlineStr">
        <is>
          <t>1</t>
        </is>
      </c>
      <c r="B24" s="10" t="inlineStr">
        <is>
          <t>Cash Flow Cumulé 36 mois</t>
        </is>
      </c>
      <c r="C24" s="10" t="inlineStr">
        <is>
          <t>Courbe (ligne)</t>
        </is>
      </c>
      <c r="D24" s="10" t="inlineStr">
        <is>
          <t>Mois 0-36, 3 scénarios</t>
        </is>
      </c>
      <c r="E24" s="10" t="inlineStr">
        <is>
          <t>Point mort visible, trajectoire positive claire</t>
        </is>
      </c>
    </row>
    <row r="25">
      <c r="A25" s="10" t="inlineStr">
        <is>
          <t>2</t>
        </is>
      </c>
      <c r="B25" s="10" t="inlineStr">
        <is>
          <t>Répartition des économies</t>
        </is>
      </c>
      <c r="C25" s="10" t="inlineStr">
        <is>
          <t>Camembert</t>
        </is>
      </c>
      <c r="D25" s="10" t="inlineStr">
        <is>
          <t>Jours évités, Sinistres, OEE, Prime</t>
        </is>
      </c>
      <c r="E25" s="10" t="inlineStr">
        <is>
          <t>Diversification des sources de valeur</t>
        </is>
      </c>
    </row>
    <row r="26">
      <c r="A26" s="10" t="inlineStr">
        <is>
          <t>3</t>
        </is>
      </c>
      <c r="B26" s="10" t="inlineStr">
        <is>
          <t>Comparaison Avant/Après</t>
        </is>
      </c>
      <c r="C26" s="10" t="inlineStr">
        <is>
          <t>Barres groupées</t>
        </is>
      </c>
      <c r="D26" s="10" t="inlineStr">
        <is>
          <t>Accidents, Jours perdus, OEE</t>
        </is>
      </c>
      <c r="E26" s="10" t="inlineStr">
        <is>
          <t>Impact concret sur KPI opérationnels</t>
        </is>
      </c>
    </row>
    <row r="30">
      <c r="A30" s="35" t="inlineStr">
        <is>
          <t>DONNÉES GRAPHIQUE 1: CASH FLOW CUMULÉ</t>
        </is>
      </c>
      <c r="F30" s="35" t="inlineStr">
        <is>
          <t>DONNÉES GRAPHIQUE 2: RÉPARTITION</t>
        </is>
      </c>
    </row>
    <row r="31">
      <c r="A31" s="9" t="inlineStr">
        <is>
          <t>Période</t>
        </is>
      </c>
      <c r="B31" s="9" t="inlineStr">
        <is>
          <t>Prudent</t>
        </is>
      </c>
      <c r="C31" s="9" t="inlineStr">
        <is>
          <t>Nominal</t>
        </is>
      </c>
      <c r="D31" s="9" t="inlineStr">
        <is>
          <t>Ambitieux</t>
        </is>
      </c>
      <c r="F31" s="9" t="inlineStr">
        <is>
          <t>Source économie</t>
        </is>
      </c>
      <c r="G31" s="9" t="inlineStr">
        <is>
          <t>Montant 3 ans</t>
        </is>
      </c>
    </row>
    <row r="32">
      <c r="A32" s="10" t="inlineStr">
        <is>
          <t>Mois 0</t>
        </is>
      </c>
      <c r="B32" s="18" t="n">
        <v>-44000</v>
      </c>
      <c r="C32" s="18" t="n">
        <v>-44000</v>
      </c>
      <c r="D32" s="18" t="n">
        <v>-44000</v>
      </c>
      <c r="F32" s="10" t="inlineStr">
        <is>
          <t>Jours évités</t>
        </is>
      </c>
      <c r="G32" s="10" t="n">
        <v>23288</v>
      </c>
    </row>
    <row r="33">
      <c r="A33" s="10" t="inlineStr">
        <is>
          <t>Mois 6</t>
        </is>
      </c>
      <c r="B33" s="18" t="n">
        <v>-30000</v>
      </c>
      <c r="C33" s="18" t="n">
        <v>-14000</v>
      </c>
      <c r="D33" s="18" t="n">
        <v>2000</v>
      </c>
      <c r="F33" s="10" t="inlineStr">
        <is>
          <t>Sinistres évités</t>
        </is>
      </c>
      <c r="G33" s="10" t="n">
        <v>100000</v>
      </c>
    </row>
    <row r="34">
      <c r="A34" s="10" t="inlineStr">
        <is>
          <t>Mois 12</t>
        </is>
      </c>
      <c r="B34" s="18" t="n">
        <v>-16450</v>
      </c>
      <c r="C34" s="18" t="n">
        <v>15575</v>
      </c>
      <c r="D34" s="18" t="n">
        <v>47600</v>
      </c>
      <c r="F34" s="10" t="inlineStr">
        <is>
          <t>Gain OEE</t>
        </is>
      </c>
      <c r="G34" s="10" t="n">
        <v>180000</v>
      </c>
    </row>
    <row r="35">
      <c r="A35" s="10" t="inlineStr">
        <is>
          <t>Mois 18</t>
        </is>
      </c>
      <c r="B35" s="18" t="n">
        <v>13000</v>
      </c>
      <c r="C35" s="18" t="n">
        <v>61000</v>
      </c>
      <c r="D35" s="18" t="n">
        <v>120000</v>
      </c>
      <c r="F35" s="10" t="inlineStr">
        <is>
          <t>Prime SST</t>
        </is>
      </c>
      <c r="G35" s="10" t="n">
        <v>2250</v>
      </c>
    </row>
    <row r="36">
      <c r="A36" s="10" t="inlineStr">
        <is>
          <t>Mois 24</t>
        </is>
      </c>
      <c r="B36" s="18" t="n">
        <v>43125</v>
      </c>
      <c r="C36" s="18" t="n">
        <v>107925</v>
      </c>
      <c r="D36" s="18" t="n">
        <v>192725</v>
      </c>
    </row>
    <row r="37">
      <c r="A37" s="10" t="inlineStr">
        <is>
          <t>Mois 30</t>
        </is>
      </c>
      <c r="B37" s="18" t="n">
        <v>76000</v>
      </c>
      <c r="C37" s="18" t="n">
        <v>163000</v>
      </c>
      <c r="D37" s="18" t="n">
        <v>279000</v>
      </c>
    </row>
    <row r="38">
      <c r="A38" s="10" t="inlineStr">
        <is>
          <t>Mois 36</t>
        </is>
      </c>
      <c r="B38" s="18" t="n">
        <v>109463</v>
      </c>
      <c r="C38" s="18" t="n">
        <v>227038</v>
      </c>
      <c r="D38" s="18" t="n">
        <v>364613</v>
      </c>
    </row>
  </sheetData>
  <mergeCells count="7">
    <mergeCell ref="A18:H18"/>
    <mergeCell ref="A3:H3"/>
    <mergeCell ref="A15:H15"/>
    <mergeCell ref="A16:H16"/>
    <mergeCell ref="A14:H14"/>
    <mergeCell ref="A1:H1"/>
    <mergeCell ref="A17:H17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2" customWidth="1" min="5" max="5"/>
    <col width="25" customWidth="1" min="6" max="6"/>
  </cols>
  <sheetData>
    <row r="1">
      <c r="A1" s="7" t="inlineStr">
        <is>
          <t>ANALYSE DE SENSIBILITÉ ET RISQUES</t>
        </is>
      </c>
    </row>
    <row r="3">
      <c r="A3" s="33" t="inlineStr">
        <is>
          <t>IMPACT DES VARIATIONS D'HYPOTHÈSES SUR LE ROI 3 ANS</t>
        </is>
      </c>
    </row>
    <row r="5">
      <c r="A5" s="9" t="inlineStr">
        <is>
          <t>Paramètre</t>
        </is>
      </c>
      <c r="B5" s="9" t="inlineStr">
        <is>
          <t>Valeur base</t>
        </is>
      </c>
      <c r="C5" s="9" t="inlineStr">
        <is>
          <t>Variation</t>
        </is>
      </c>
      <c r="D5" s="9" t="inlineStr">
        <is>
          <t>ROI base</t>
        </is>
      </c>
      <c r="E5" s="9" t="inlineStr">
        <is>
          <t>ROI modifié</t>
        </is>
      </c>
      <c r="F5" s="9" t="inlineStr">
        <is>
          <t>Impact</t>
        </is>
      </c>
    </row>
    <row r="6">
      <c r="A6" s="10" t="inlineStr">
        <is>
          <t>Réduction accidents</t>
        </is>
      </c>
      <c r="B6" s="10" t="inlineStr">
        <is>
          <t>25%</t>
        </is>
      </c>
      <c r="C6" s="10" t="inlineStr">
        <is>
          <t>-10% (=15%)</t>
        </is>
      </c>
      <c r="D6" s="10" t="inlineStr">
        <is>
          <t>289%</t>
        </is>
      </c>
      <c r="E6" s="10" t="inlineStr">
        <is>
          <t>180%</t>
        </is>
      </c>
      <c r="F6" s="27" t="inlineStr">
        <is>
          <t>ÉLEVÉ - Variable clé</t>
        </is>
      </c>
    </row>
    <row r="7">
      <c r="A7" s="10" t="inlineStr">
        <is>
          <t>Réduction accidents</t>
        </is>
      </c>
      <c r="B7" s="10" t="inlineStr">
        <is>
          <t>25%</t>
        </is>
      </c>
      <c r="C7" s="10" t="inlineStr">
        <is>
          <t>+10% (=35%)</t>
        </is>
      </c>
      <c r="D7" s="10" t="inlineStr">
        <is>
          <t>289%</t>
        </is>
      </c>
      <c r="E7" s="10" t="inlineStr">
        <is>
          <t>398%</t>
        </is>
      </c>
      <c r="F7" s="10" t="inlineStr"/>
    </row>
    <row r="8">
      <c r="A8" s="10" t="inlineStr">
        <is>
          <t>Coût/jour perdu</t>
        </is>
      </c>
      <c r="B8" s="10" t="inlineStr">
        <is>
          <t>450$</t>
        </is>
      </c>
      <c r="C8" s="10" t="inlineStr">
        <is>
          <t>-20% (=360$)</t>
        </is>
      </c>
      <c r="D8" s="10" t="inlineStr">
        <is>
          <t>289%</t>
        </is>
      </c>
      <c r="E8" s="10" t="inlineStr">
        <is>
          <t>265%</t>
        </is>
      </c>
      <c r="F8" s="36" t="inlineStr">
        <is>
          <t>MOYEN</t>
        </is>
      </c>
    </row>
    <row r="9">
      <c r="A9" s="10" t="inlineStr">
        <is>
          <t>Coût/jour perdu</t>
        </is>
      </c>
      <c r="B9" s="10" t="inlineStr">
        <is>
          <t>450$</t>
        </is>
      </c>
      <c r="C9" s="10" t="inlineStr">
        <is>
          <t>+20% (=540$)</t>
        </is>
      </c>
      <c r="D9" s="10" t="inlineStr">
        <is>
          <t>289%</t>
        </is>
      </c>
      <c r="E9" s="10" t="inlineStr">
        <is>
          <t>313%</t>
        </is>
      </c>
      <c r="F9" s="10" t="inlineStr"/>
    </row>
    <row r="10">
      <c r="A10" s="10" t="inlineStr">
        <is>
          <t>Coût/sinistre</t>
        </is>
      </c>
      <c r="B10" s="10" t="inlineStr">
        <is>
          <t>25 000$</t>
        </is>
      </c>
      <c r="C10" s="10" t="inlineStr">
        <is>
          <t>-30% (=17 500$)</t>
        </is>
      </c>
      <c r="D10" s="10" t="inlineStr">
        <is>
          <t>289%</t>
        </is>
      </c>
      <c r="E10" s="10" t="inlineStr">
        <is>
          <t>210%</t>
        </is>
      </c>
      <c r="F10" s="27" t="inlineStr">
        <is>
          <t>ÉLEVÉ - Sensible</t>
        </is>
      </c>
    </row>
    <row r="11">
      <c r="A11" s="10" t="inlineStr">
        <is>
          <t>Coût/sinistre</t>
        </is>
      </c>
      <c r="B11" s="10" t="inlineStr">
        <is>
          <t>25 000$</t>
        </is>
      </c>
      <c r="C11" s="10" t="inlineStr">
        <is>
          <t>+30% (=32 500$)</t>
        </is>
      </c>
      <c r="D11" s="10" t="inlineStr">
        <is>
          <t>289%</t>
        </is>
      </c>
      <c r="E11" s="10" t="inlineStr">
        <is>
          <t>368%</t>
        </is>
      </c>
      <c r="F11" s="10" t="inlineStr"/>
    </row>
    <row r="12">
      <c r="A12" s="10" t="inlineStr">
        <is>
          <t>Amélioration OEE</t>
        </is>
      </c>
      <c r="B12" s="10" t="inlineStr">
        <is>
          <t>+2%</t>
        </is>
      </c>
      <c r="C12" s="10" t="inlineStr">
        <is>
          <t>-50% (=+1%)</t>
        </is>
      </c>
      <c r="D12" s="10" t="inlineStr">
        <is>
          <t>289%</t>
        </is>
      </c>
      <c r="E12" s="10" t="inlineStr">
        <is>
          <t>175%</t>
        </is>
      </c>
      <c r="F12" s="27" t="inlineStr">
        <is>
          <t>ÉLEVÉ - Levier majeur</t>
        </is>
      </c>
    </row>
    <row r="13">
      <c r="A13" s="10" t="inlineStr">
        <is>
          <t>Amélioration OEE</t>
        </is>
      </c>
      <c r="B13" s="10" t="inlineStr">
        <is>
          <t>+2%</t>
        </is>
      </c>
      <c r="C13" s="10" t="inlineStr">
        <is>
          <t>+50% (=+3%)</t>
        </is>
      </c>
      <c r="D13" s="10" t="inlineStr">
        <is>
          <t>289%</t>
        </is>
      </c>
      <c r="E13" s="10" t="inlineStr">
        <is>
          <t>403%</t>
        </is>
      </c>
      <c r="F13" s="10" t="inlineStr"/>
    </row>
    <row r="14">
      <c r="A14" s="10" t="inlineStr">
        <is>
          <t>CAPEX initial</t>
        </is>
      </c>
      <c r="B14" s="10" t="inlineStr">
        <is>
          <t>44 000$</t>
        </is>
      </c>
      <c r="C14" s="10" t="inlineStr">
        <is>
          <t>+25% (=55 000$)</t>
        </is>
      </c>
      <c r="D14" s="10" t="inlineStr">
        <is>
          <t>289%</t>
        </is>
      </c>
      <c r="E14" s="10" t="inlineStr">
        <is>
          <t>240%</t>
        </is>
      </c>
      <c r="F14" s="36" t="inlineStr">
        <is>
          <t>MOYEN</t>
        </is>
      </c>
    </row>
    <row r="15">
      <c r="A15" s="10" t="inlineStr">
        <is>
          <t>OPEX annuel</t>
        </is>
      </c>
      <c r="B15" s="10" t="inlineStr">
        <is>
          <t>11 500$</t>
        </is>
      </c>
      <c r="C15" s="10" t="inlineStr">
        <is>
          <t>+20% (=13 800$)</t>
        </is>
      </c>
      <c r="D15" s="10" t="inlineStr">
        <is>
          <t>289%</t>
        </is>
      </c>
      <c r="E15" s="10" t="inlineStr">
        <is>
          <t>255%</t>
        </is>
      </c>
      <c r="F15" s="29" t="inlineStr">
        <is>
          <t>FAIBLE</t>
        </is>
      </c>
    </row>
    <row r="20">
      <c r="A20" s="33" t="inlineStr">
        <is>
          <t>RISQUES ET STRATÉGIES DE MITIGATION</t>
        </is>
      </c>
    </row>
    <row r="22">
      <c r="A22" s="9" t="inlineStr">
        <is>
          <t>Risque</t>
        </is>
      </c>
      <c r="B22" s="9" t="inlineStr">
        <is>
          <t>Probabilité</t>
        </is>
      </c>
      <c r="C22" s="9" t="inlineStr">
        <is>
          <t>Impact</t>
        </is>
      </c>
      <c r="D22" s="9" t="inlineStr">
        <is>
          <t>Mitigation</t>
        </is>
      </c>
    </row>
    <row r="23">
      <c r="A23" s="10" t="inlineStr">
        <is>
          <t>Baseline accidents surestimé</t>
        </is>
      </c>
      <c r="B23" s="10" t="inlineStr">
        <is>
          <t>Moyenne</t>
        </is>
      </c>
      <c r="C23" s="10" t="inlineStr">
        <is>
          <t>Élevé</t>
        </is>
      </c>
      <c r="D23" s="10" t="inlineStr">
        <is>
          <t>Valider sur 3 ans d'historique; hypothèse prudente</t>
        </is>
      </c>
    </row>
    <row r="24">
      <c r="A24" s="10" t="inlineStr">
        <is>
          <t>Adoption insuffisante (contournements)</t>
        </is>
      </c>
      <c r="B24" s="10" t="inlineStr">
        <is>
          <t>Moyenne</t>
        </is>
      </c>
      <c r="C24" s="10" t="inlineStr">
        <is>
          <t>Moyen</t>
        </is>
      </c>
      <c r="D24" s="10" t="inlineStr">
        <is>
          <t>Formation + KPI overrides + revue HSE hebdo</t>
        </is>
      </c>
    </row>
    <row r="25">
      <c r="A25" s="10" t="inlineStr">
        <is>
          <t>Faux positifs excessifs (perte OEE)</t>
        </is>
      </c>
      <c r="B25" s="10" t="inlineStr">
        <is>
          <t>Faible</t>
        </is>
      </c>
      <c r="C25" s="10" t="inlineStr">
        <is>
          <t>Moyen</t>
        </is>
      </c>
      <c r="D25" s="10" t="inlineStr">
        <is>
          <t>Calibration progressive; seuils ajustables; cible &lt;20%</t>
        </is>
      </c>
    </row>
    <row r="26">
      <c r="A26" s="10" t="inlineStr">
        <is>
          <t>Retard intégration technique</t>
        </is>
      </c>
      <c r="B26" s="10" t="inlineStr">
        <is>
          <t>Moyenne</t>
        </is>
      </c>
      <c r="C26" s="10" t="inlineStr">
        <is>
          <t>Faible</t>
        </is>
      </c>
      <c r="D26" s="10" t="inlineStr">
        <is>
          <t>Jalons contractuels; tests usine; support intégrateur</t>
        </is>
      </c>
    </row>
    <row r="27">
      <c r="A27" s="10" t="inlineStr">
        <is>
          <t>Évolution réglementaire défavorable</t>
        </is>
      </c>
      <c r="B27" s="10" t="inlineStr">
        <is>
          <t>Faible</t>
        </is>
      </c>
      <c r="C27" s="10" t="inlineStr">
        <is>
          <t>Faible</t>
        </is>
      </c>
      <c r="D27" s="10" t="inlineStr">
        <is>
          <t>Veille normative; architecture évolutive</t>
        </is>
      </c>
    </row>
    <row r="28">
      <c r="A28" s="10" t="inlineStr">
        <is>
          <t>Résistance au changement</t>
        </is>
      </c>
      <c r="B28" s="10" t="inlineStr">
        <is>
          <t>Moyenne</t>
        </is>
      </c>
      <c r="C28" s="10" t="inlineStr">
        <is>
          <t>Moyen</t>
        </is>
      </c>
      <c r="D28" s="10" t="inlineStr">
        <is>
          <t>Communication; quick wins visibles; implication opérateurs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20" customWidth="1" min="4" max="4"/>
    <col width="15" customWidth="1" min="5" max="5"/>
    <col width="12" customWidth="1" min="6" max="6"/>
    <col width="15" customWidth="1" min="7" max="7"/>
  </cols>
  <sheetData>
    <row r="1">
      <c r="A1" s="7" t="inlineStr">
        <is>
          <t>CHECKLIST COLLECTE BASELINE - AVANT DÉPLOIEMENT</t>
        </is>
      </c>
    </row>
    <row r="3">
      <c r="A3" s="9" t="inlineStr">
        <is>
          <t>#</t>
        </is>
      </c>
      <c r="B3" s="9" t="inlineStr">
        <is>
          <t>Donnée à collecter</t>
        </is>
      </c>
      <c r="C3" s="9" t="inlineStr">
        <is>
          <t>Source</t>
        </is>
      </c>
      <c r="D3" s="9" t="inlineStr">
        <is>
          <t>Période requise</t>
        </is>
      </c>
      <c r="E3" s="9" t="inlineStr">
        <is>
          <t>Responsable</t>
        </is>
      </c>
      <c r="F3" s="9" t="inlineStr">
        <is>
          <t>Statut</t>
        </is>
      </c>
      <c r="G3" s="9" t="inlineStr">
        <is>
          <t>Valeur</t>
        </is>
      </c>
    </row>
    <row r="4">
      <c r="A4" s="10" t="inlineStr">
        <is>
          <t>1</t>
        </is>
      </c>
      <c r="B4" s="10" t="inlineStr">
        <is>
          <t>Nombre accidents avec arrêt (cellule)</t>
        </is>
      </c>
      <c r="C4" s="10" t="inlineStr">
        <is>
          <t>Registre HSE</t>
        </is>
      </c>
      <c r="D4" s="10" t="inlineStr">
        <is>
          <t>3 dernières années</t>
        </is>
      </c>
      <c r="E4" s="10" t="inlineStr">
        <is>
          <t>HSE</t>
        </is>
      </c>
      <c r="F4" s="37" t="inlineStr"/>
      <c r="G4" s="11" t="inlineStr"/>
    </row>
    <row r="5">
      <c r="A5" s="10" t="inlineStr">
        <is>
          <t>2</t>
        </is>
      </c>
      <c r="B5" s="10" t="inlineStr">
        <is>
          <t>Détail par type (collision, brûlure, fumées, TMS)</t>
        </is>
      </c>
      <c r="C5" s="10" t="inlineStr">
        <is>
          <t>Registre HSE</t>
        </is>
      </c>
      <c r="D5" s="10" t="inlineStr">
        <is>
          <t>3 dernières années</t>
        </is>
      </c>
      <c r="E5" s="10" t="inlineStr">
        <is>
          <t>HSE</t>
        </is>
      </c>
      <c r="F5" s="37" t="inlineStr"/>
      <c r="G5" s="11" t="inlineStr"/>
    </row>
    <row r="6">
      <c r="A6" s="10" t="inlineStr">
        <is>
          <t>3</t>
        </is>
      </c>
      <c r="B6" s="10" t="inlineStr">
        <is>
          <t>Jours perdus par accident</t>
        </is>
      </c>
      <c r="C6" s="10" t="inlineStr">
        <is>
          <t>RH + HSE</t>
        </is>
      </c>
      <c r="D6" s="10" t="inlineStr">
        <is>
          <t>3 dernières années</t>
        </is>
      </c>
      <c r="E6" s="10" t="inlineStr">
        <is>
          <t>RH</t>
        </is>
      </c>
      <c r="F6" s="37" t="inlineStr"/>
      <c r="G6" s="11" t="inlineStr"/>
    </row>
    <row r="7">
      <c r="A7" s="10" t="inlineStr">
        <is>
          <t>4</t>
        </is>
      </c>
      <c r="B7" s="10" t="inlineStr">
        <is>
          <t>Quasi-incidents déclarés</t>
        </is>
      </c>
      <c r="C7" s="10" t="inlineStr">
        <is>
          <t>Registre QI</t>
        </is>
      </c>
      <c r="D7" s="10" t="inlineStr">
        <is>
          <t>12 derniers mois</t>
        </is>
      </c>
      <c r="E7" s="10" t="inlineStr">
        <is>
          <t>HSE</t>
        </is>
      </c>
      <c r="F7" s="37" t="inlineStr"/>
      <c r="G7" s="11" t="inlineStr"/>
    </row>
    <row r="8">
      <c r="A8" s="10" t="inlineStr">
        <is>
          <t>5</t>
        </is>
      </c>
      <c r="B8" s="10" t="inlineStr">
        <is>
          <t>Coûts sinistres (indemnités + soins)</t>
        </is>
      </c>
      <c r="C8" s="10" t="inlineStr">
        <is>
          <t>Finance/Assureur</t>
        </is>
      </c>
      <c r="D8" s="10" t="inlineStr">
        <is>
          <t>3 dernières années</t>
        </is>
      </c>
      <c r="E8" s="10" t="inlineStr">
        <is>
          <t>Finance</t>
        </is>
      </c>
      <c r="F8" s="37" t="inlineStr"/>
      <c r="G8" s="11" t="inlineStr"/>
    </row>
    <row r="9">
      <c r="A9" s="10" t="inlineStr">
        <is>
          <t>6</t>
        </is>
      </c>
      <c r="B9" s="10" t="inlineStr">
        <is>
          <t>Prime/cotisation SST annuelle</t>
        </is>
      </c>
      <c r="C9" s="10" t="inlineStr">
        <is>
          <t>Finance</t>
        </is>
      </c>
      <c r="D9" s="10" t="inlineStr">
        <is>
          <t>Année en cours</t>
        </is>
      </c>
      <c r="E9" s="10" t="inlineStr">
        <is>
          <t>Finance</t>
        </is>
      </c>
      <c r="F9" s="37" t="inlineStr"/>
      <c r="G9" s="11" t="inlineStr"/>
    </row>
    <row r="10">
      <c r="A10" s="10" t="inlineStr">
        <is>
          <t>7</t>
        </is>
      </c>
      <c r="B10" s="10" t="inlineStr">
        <is>
          <t>OEE cellule (hebdomadaire)</t>
        </is>
      </c>
      <c r="C10" s="10" t="inlineStr">
        <is>
          <t>MES / Production</t>
        </is>
      </c>
      <c r="D10" s="10" t="inlineStr">
        <is>
          <t>6 derniers mois</t>
        </is>
      </c>
      <c r="E10" s="10" t="inlineStr">
        <is>
          <t>Production</t>
        </is>
      </c>
      <c r="F10" s="37" t="inlineStr"/>
      <c r="G10" s="11" t="inlineStr"/>
    </row>
    <row r="11">
      <c r="A11" s="10" t="inlineStr">
        <is>
          <t>8</t>
        </is>
      </c>
      <c r="B11" s="10" t="inlineStr">
        <is>
          <t>Heures production planifiées/an</t>
        </is>
      </c>
      <c r="C11" s="10" t="inlineStr">
        <is>
          <t>Planning</t>
        </is>
      </c>
      <c r="D11" s="10" t="inlineStr">
        <is>
          <t>Année type</t>
        </is>
      </c>
      <c r="E11" s="10" t="inlineStr">
        <is>
          <t>Production</t>
        </is>
      </c>
      <c r="F11" s="37" t="inlineStr"/>
      <c r="G11" s="11" t="inlineStr"/>
    </row>
    <row r="12">
      <c r="A12" s="10" t="inlineStr">
        <is>
          <t>9</t>
        </is>
      </c>
      <c r="B12" s="10" t="inlineStr">
        <is>
          <t>Arrêts non planifiés (pannes, incidents)</t>
        </is>
      </c>
      <c r="C12" s="10" t="inlineStr">
        <is>
          <t>Maintenance</t>
        </is>
      </c>
      <c r="D12" s="10" t="inlineStr">
        <is>
          <t>12 derniers mois</t>
        </is>
      </c>
      <c r="E12" s="10" t="inlineStr">
        <is>
          <t>Maintenance</t>
        </is>
      </c>
      <c r="F12" s="37" t="inlineStr"/>
      <c r="G12" s="11" t="inlineStr"/>
    </row>
    <row r="13">
      <c r="A13" s="10" t="inlineStr">
        <is>
          <t>10</t>
        </is>
      </c>
      <c r="B13" s="10" t="inlineStr">
        <is>
          <t>Temps moyen entre pannes (MTBF)</t>
        </is>
      </c>
      <c r="C13" s="10" t="inlineStr">
        <is>
          <t>GMAO</t>
        </is>
      </c>
      <c r="D13" s="10" t="inlineStr">
        <is>
          <t>12 derniers mois</t>
        </is>
      </c>
      <c r="E13" s="10" t="inlineStr">
        <is>
          <t>Maintenance</t>
        </is>
      </c>
      <c r="F13" s="37" t="inlineStr"/>
      <c r="G13" s="11" t="inlineStr"/>
    </row>
    <row r="14">
      <c r="A14" s="10" t="inlineStr">
        <is>
          <t>11</t>
        </is>
      </c>
      <c r="B14" s="10" t="inlineStr">
        <is>
          <t>Mesures fumées (si soudage)</t>
        </is>
      </c>
      <c r="C14" s="10" t="inlineStr">
        <is>
          <t>Hygiène industrielle</t>
        </is>
      </c>
      <c r="D14" s="10" t="inlineStr">
        <is>
          <t>Dernière campagne</t>
        </is>
      </c>
      <c r="E14" s="10" t="inlineStr">
        <is>
          <t>HSE</t>
        </is>
      </c>
      <c r="F14" s="37" t="inlineStr"/>
      <c r="G14" s="11" t="inlineStr"/>
    </row>
    <row r="15">
      <c r="A15" s="10" t="inlineStr">
        <is>
          <t>12</t>
        </is>
      </c>
      <c r="B15" s="10" t="inlineStr">
        <is>
          <t>Temps exposition zones dangereuses</t>
        </is>
      </c>
      <c r="C15" s="10" t="inlineStr">
        <is>
          <t>Observation/Estimation</t>
        </is>
      </c>
      <c r="D15" s="10" t="inlineStr">
        <is>
          <t>Typique</t>
        </is>
      </c>
      <c r="E15" s="10" t="inlineStr">
        <is>
          <t>HSE</t>
        </is>
      </c>
      <c r="F15" s="37" t="inlineStr"/>
      <c r="G15" s="11" t="inlineStr"/>
    </row>
    <row r="16">
      <c r="A16" s="10" t="inlineStr">
        <is>
          <t>13</t>
        </is>
      </c>
      <c r="B16" s="10" t="inlineStr">
        <is>
          <t>Taux horaire moyen opérateurs</t>
        </is>
      </c>
      <c r="C16" s="10" t="inlineStr">
        <is>
          <t>RH</t>
        </is>
      </c>
      <c r="D16" s="10" t="inlineStr">
        <is>
          <t>Actuel</t>
        </is>
      </c>
      <c r="E16" s="10" t="inlineStr">
        <is>
          <t>RH</t>
        </is>
      </c>
      <c r="F16" s="37" t="inlineStr"/>
      <c r="G16" s="11" t="inlineStr"/>
    </row>
    <row r="17">
      <c r="A17" s="10" t="inlineStr">
        <is>
          <t>14</t>
        </is>
      </c>
      <c r="B17" s="10" t="inlineStr">
        <is>
          <t>Valeur production horaire cellule</t>
        </is>
      </c>
      <c r="C17" s="10" t="inlineStr">
        <is>
          <t>Finance/Production</t>
        </is>
      </c>
      <c r="D17" s="10" t="inlineStr">
        <is>
          <t>Actuel</t>
        </is>
      </c>
      <c r="E17" s="10" t="inlineStr">
        <is>
          <t>Finance</t>
        </is>
      </c>
      <c r="F17" s="37" t="inlineStr"/>
      <c r="G17" s="11" t="inlineStr"/>
    </row>
    <row r="18">
      <c r="A18" s="10" t="inlineStr">
        <is>
          <t>15</t>
        </is>
      </c>
      <c r="B18" s="10" t="inlineStr">
        <is>
          <t>Effectif concerné par cellule</t>
        </is>
      </c>
      <c r="C18" s="10" t="inlineStr">
        <is>
          <t>RH</t>
        </is>
      </c>
      <c r="D18" s="10" t="inlineStr">
        <is>
          <t>Actuel</t>
        </is>
      </c>
      <c r="E18" s="10" t="inlineStr">
        <is>
          <t>RH</t>
        </is>
      </c>
      <c r="F18" s="37" t="inlineStr"/>
      <c r="G18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2025-12-15T22:06:53Z</dcterms:created>
  <dcterms:modified xmlns:dcterms="http://purl.org/dc/terms/" xmlns:xsi="http://www.w3.org/2001/XMLSchema-instance" xsi:type="dcterms:W3CDTF">2025-12-15T22:06:53Z</dcterms:modified>
</cp:coreProperties>
</file>